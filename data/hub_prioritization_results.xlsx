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yalonhw-my.sharepoint.com/personal/ohad_ayalonhw_co_il/Documents/Documents/"/>
    </mc:Choice>
  </mc:AlternateContent>
  <xr:revisionPtr revIDLastSave="0" documentId="8_{A1BC29A9-3728-411E-958B-3FA16214357F}" xr6:coauthVersionLast="47" xr6:coauthVersionMax="47" xr10:uidLastSave="{00000000-0000-0000-0000-000000000000}"/>
  <bookViews>
    <workbookView xWindow="-120" yWindow="-120" windowWidth="29040" windowHeight="17520" xr2:uid="{B51A0D4A-70C6-4940-A5B3-245AAB26F71A}"/>
  </bookViews>
  <sheets>
    <sheet name="Result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K128" i="1" l="1"/>
  <c r="BJ128" i="1"/>
  <c r="BI128" i="1"/>
  <c r="BH128" i="1"/>
  <c r="AX128" i="1"/>
  <c r="AW128" i="1"/>
  <c r="BK127" i="1"/>
  <c r="BH127" i="1"/>
  <c r="AX127" i="1"/>
  <c r="AW127" i="1"/>
  <c r="BK126" i="1"/>
  <c r="BH126" i="1"/>
  <c r="AX126" i="1"/>
  <c r="AW126" i="1"/>
  <c r="BK125" i="1"/>
  <c r="BH125" i="1"/>
  <c r="BJ125" i="1" s="1"/>
  <c r="AX125" i="1"/>
  <c r="AW125" i="1"/>
  <c r="BK124" i="1"/>
  <c r="BH124" i="1"/>
  <c r="BJ124" i="1" s="1"/>
  <c r="AX124" i="1"/>
  <c r="AW124" i="1"/>
  <c r="BK123" i="1"/>
  <c r="BH123" i="1"/>
  <c r="BI123" i="1" s="1"/>
  <c r="AX123" i="1"/>
  <c r="AW123" i="1"/>
  <c r="BK122" i="1"/>
  <c r="BH122" i="1"/>
  <c r="AX122" i="1"/>
  <c r="AW122" i="1"/>
  <c r="BK121" i="1"/>
  <c r="BH121" i="1"/>
  <c r="BJ121" i="1" s="1"/>
  <c r="AX121" i="1"/>
  <c r="AW121" i="1"/>
  <c r="BK120" i="1"/>
  <c r="BJ120" i="1"/>
  <c r="BI120" i="1"/>
  <c r="BH120" i="1"/>
  <c r="AX120" i="1"/>
  <c r="AW120" i="1"/>
  <c r="BK119" i="1"/>
  <c r="BH119" i="1"/>
  <c r="AX119" i="1"/>
  <c r="AW119" i="1"/>
  <c r="BK118" i="1"/>
  <c r="BH118" i="1"/>
  <c r="BJ118" i="1" s="1"/>
  <c r="AX118" i="1"/>
  <c r="AW118" i="1"/>
  <c r="BK117" i="1"/>
  <c r="BH117" i="1"/>
  <c r="BJ117" i="1" s="1"/>
  <c r="AX117" i="1"/>
  <c r="AW117" i="1"/>
  <c r="BK116" i="1"/>
  <c r="BH116" i="1"/>
  <c r="BJ116" i="1" s="1"/>
  <c r="AX116" i="1"/>
  <c r="AW116" i="1"/>
  <c r="BK115" i="1"/>
  <c r="BH115" i="1"/>
  <c r="BI115" i="1" s="1"/>
  <c r="AX115" i="1"/>
  <c r="AW115" i="1"/>
  <c r="BK114" i="1"/>
  <c r="BH114" i="1"/>
  <c r="AX114" i="1"/>
  <c r="AW114" i="1"/>
  <c r="BK113" i="1"/>
  <c r="BH113" i="1"/>
  <c r="BJ113" i="1" s="1"/>
  <c r="AX113" i="1"/>
  <c r="AW113" i="1"/>
  <c r="BK112" i="1"/>
  <c r="BI112" i="1"/>
  <c r="BH112" i="1"/>
  <c r="AX112" i="1"/>
  <c r="AW112" i="1"/>
  <c r="BK111" i="1"/>
  <c r="BH111" i="1"/>
  <c r="AX111" i="1"/>
  <c r="AW111" i="1"/>
  <c r="BK110" i="1"/>
  <c r="BH110" i="1"/>
  <c r="BJ110" i="1" s="1"/>
  <c r="AX110" i="1"/>
  <c r="AW110" i="1"/>
  <c r="BK109" i="1"/>
  <c r="BH109" i="1"/>
  <c r="BJ109" i="1" s="1"/>
  <c r="AX109" i="1"/>
  <c r="AW109" i="1"/>
  <c r="BK108" i="1"/>
  <c r="BH108" i="1"/>
  <c r="BJ108" i="1" s="1"/>
  <c r="AX108" i="1"/>
  <c r="AW108" i="1"/>
  <c r="BK107" i="1"/>
  <c r="BH107" i="1"/>
  <c r="BI107" i="1" s="1"/>
  <c r="AX107" i="1"/>
  <c r="AW107" i="1"/>
  <c r="BK106" i="1"/>
  <c r="BH106" i="1"/>
  <c r="AX106" i="1"/>
  <c r="AW106" i="1"/>
  <c r="BK105" i="1"/>
  <c r="BH105" i="1"/>
  <c r="BJ105" i="1" s="1"/>
  <c r="AX105" i="1"/>
  <c r="AW105" i="1"/>
  <c r="BK104" i="1"/>
  <c r="BI104" i="1"/>
  <c r="BH104" i="1"/>
  <c r="AX104" i="1"/>
  <c r="AW104" i="1"/>
  <c r="BK103" i="1"/>
  <c r="BH103" i="1"/>
  <c r="AX103" i="1"/>
  <c r="AW103" i="1"/>
  <c r="BK102" i="1"/>
  <c r="BH102" i="1"/>
  <c r="BJ102" i="1" s="1"/>
  <c r="AX102" i="1"/>
  <c r="AW102" i="1"/>
  <c r="BK101" i="1"/>
  <c r="BH101" i="1"/>
  <c r="BJ101" i="1" s="1"/>
  <c r="AX101" i="1"/>
  <c r="AW101" i="1"/>
  <c r="BK100" i="1"/>
  <c r="BH100" i="1"/>
  <c r="BJ100" i="1" s="1"/>
  <c r="AX100" i="1"/>
  <c r="AW100" i="1"/>
  <c r="BK99" i="1"/>
  <c r="BH99" i="1"/>
  <c r="BJ99" i="1" s="1"/>
  <c r="AX99" i="1"/>
  <c r="AW99" i="1"/>
  <c r="BK98" i="1"/>
  <c r="BH98" i="1"/>
  <c r="AX98" i="1"/>
  <c r="AW98" i="1"/>
  <c r="BK97" i="1"/>
  <c r="BH97" i="1"/>
  <c r="BJ97" i="1" s="1"/>
  <c r="AX97" i="1"/>
  <c r="AW97" i="1"/>
  <c r="BK96" i="1"/>
  <c r="BJ96" i="1"/>
  <c r="BI96" i="1"/>
  <c r="BH96" i="1"/>
  <c r="AX96" i="1"/>
  <c r="AW96" i="1"/>
  <c r="BK95" i="1"/>
  <c r="BH95" i="1"/>
  <c r="AX95" i="1"/>
  <c r="AW95" i="1"/>
  <c r="BK94" i="1"/>
  <c r="BH94" i="1"/>
  <c r="BJ94" i="1" s="1"/>
  <c r="AX94" i="1"/>
  <c r="AW94" i="1"/>
  <c r="BK93" i="1"/>
  <c r="BH93" i="1"/>
  <c r="BJ93" i="1" s="1"/>
  <c r="AX93" i="1"/>
  <c r="AW93" i="1"/>
  <c r="BK92" i="1"/>
  <c r="BH92" i="1"/>
  <c r="BJ92" i="1" s="1"/>
  <c r="AX92" i="1"/>
  <c r="AW92" i="1"/>
  <c r="BK91" i="1"/>
  <c r="BH91" i="1"/>
  <c r="BI91" i="1" s="1"/>
  <c r="AX91" i="1"/>
  <c r="AW91" i="1"/>
  <c r="BK90" i="1"/>
  <c r="BH90" i="1"/>
  <c r="AX90" i="1"/>
  <c r="AW90" i="1"/>
  <c r="BK89" i="1"/>
  <c r="BH89" i="1"/>
  <c r="BJ89" i="1" s="1"/>
  <c r="AX89" i="1"/>
  <c r="AW89" i="1"/>
  <c r="BK88" i="1"/>
  <c r="BJ88" i="1"/>
  <c r="BI88" i="1"/>
  <c r="BH88" i="1"/>
  <c r="AX88" i="1"/>
  <c r="AW88" i="1"/>
  <c r="BK87" i="1"/>
  <c r="BH87" i="1"/>
  <c r="AX87" i="1"/>
  <c r="AW87" i="1"/>
  <c r="BK86" i="1"/>
  <c r="BH86" i="1"/>
  <c r="BJ98" i="1" s="1"/>
  <c r="AX86" i="1"/>
  <c r="AW86" i="1"/>
  <c r="BK85" i="1"/>
  <c r="BH85" i="1"/>
  <c r="BJ85" i="1" s="1"/>
  <c r="AX85" i="1"/>
  <c r="AW85" i="1"/>
  <c r="BK84" i="1"/>
  <c r="BH84" i="1"/>
  <c r="BJ84" i="1" s="1"/>
  <c r="AX84" i="1"/>
  <c r="AW84" i="1"/>
  <c r="BK83" i="1"/>
  <c r="BH83" i="1"/>
  <c r="BI83" i="1" s="1"/>
  <c r="AX83" i="1"/>
  <c r="AW83" i="1"/>
  <c r="BK82" i="1"/>
  <c r="BH82" i="1"/>
  <c r="BJ82" i="1" s="1"/>
  <c r="AX82" i="1"/>
  <c r="AW82" i="1"/>
  <c r="BK81" i="1"/>
  <c r="BH81" i="1"/>
  <c r="BJ81" i="1" s="1"/>
  <c r="AX81" i="1"/>
  <c r="AW81" i="1"/>
  <c r="BK80" i="1"/>
  <c r="BI80" i="1"/>
  <c r="BH80" i="1"/>
  <c r="AX80" i="1"/>
  <c r="AW80" i="1"/>
  <c r="BK79" i="1"/>
  <c r="BH79" i="1"/>
  <c r="AX79" i="1"/>
  <c r="AW79" i="1"/>
  <c r="BK78" i="1"/>
  <c r="BH78" i="1"/>
  <c r="BJ78" i="1" s="1"/>
  <c r="AX78" i="1"/>
  <c r="AW78" i="1"/>
  <c r="BK77" i="1"/>
  <c r="BH77" i="1"/>
  <c r="BJ77" i="1" s="1"/>
  <c r="AX77" i="1"/>
  <c r="AW77" i="1"/>
  <c r="BK76" i="1"/>
  <c r="BH76" i="1"/>
  <c r="BJ76" i="1" s="1"/>
  <c r="AX76" i="1"/>
  <c r="AW76" i="1"/>
  <c r="BK75" i="1"/>
  <c r="BH75" i="1"/>
  <c r="BI75" i="1" s="1"/>
  <c r="AX75" i="1"/>
  <c r="AW75" i="1"/>
  <c r="BK74" i="1"/>
  <c r="BH74" i="1"/>
  <c r="BJ74" i="1" s="1"/>
  <c r="AX74" i="1"/>
  <c r="AW74" i="1"/>
  <c r="BK73" i="1"/>
  <c r="BH73" i="1"/>
  <c r="BJ73" i="1" s="1"/>
  <c r="AX73" i="1"/>
  <c r="AW73" i="1"/>
  <c r="BK72" i="1"/>
  <c r="BI72" i="1"/>
  <c r="BH72" i="1"/>
  <c r="AX72" i="1"/>
  <c r="AW72" i="1"/>
  <c r="BK71" i="1"/>
  <c r="BH71" i="1"/>
  <c r="AX71" i="1"/>
  <c r="AW71" i="1"/>
  <c r="BK70" i="1"/>
  <c r="BH70" i="1"/>
  <c r="BJ70" i="1" s="1"/>
  <c r="AX70" i="1"/>
  <c r="AW70" i="1"/>
  <c r="BK69" i="1"/>
  <c r="BH69" i="1"/>
  <c r="BJ69" i="1" s="1"/>
  <c r="AX69" i="1"/>
  <c r="AW69" i="1"/>
  <c r="BK68" i="1"/>
  <c r="BH68" i="1"/>
  <c r="BJ68" i="1" s="1"/>
  <c r="AX68" i="1"/>
  <c r="AW68" i="1"/>
  <c r="BK67" i="1"/>
  <c r="BH67" i="1"/>
  <c r="BJ67" i="1" s="1"/>
  <c r="AX67" i="1"/>
  <c r="AW67" i="1"/>
  <c r="BK66" i="1"/>
  <c r="BH66" i="1"/>
  <c r="BJ66" i="1" s="1"/>
  <c r="AX66" i="1"/>
  <c r="AW66" i="1"/>
  <c r="BK65" i="1"/>
  <c r="BH65" i="1"/>
  <c r="BJ65" i="1" s="1"/>
  <c r="AX65" i="1"/>
  <c r="AW65" i="1"/>
  <c r="BK64" i="1"/>
  <c r="BI64" i="1"/>
  <c r="BH64" i="1"/>
  <c r="AX64" i="1"/>
  <c r="AW64" i="1"/>
  <c r="BK63" i="1"/>
  <c r="BH63" i="1"/>
  <c r="AX63" i="1"/>
  <c r="AW63" i="1"/>
  <c r="BK62" i="1"/>
  <c r="BH62" i="1"/>
  <c r="BJ62" i="1" s="1"/>
  <c r="AX62" i="1"/>
  <c r="AW62" i="1"/>
  <c r="BK61" i="1"/>
  <c r="BH61" i="1"/>
  <c r="BJ61" i="1" s="1"/>
  <c r="AX61" i="1"/>
  <c r="AW61" i="1"/>
  <c r="BK60" i="1"/>
  <c r="BH60" i="1"/>
  <c r="BJ60" i="1" s="1"/>
  <c r="AX60" i="1"/>
  <c r="AW60" i="1"/>
  <c r="BK59" i="1"/>
  <c r="BH59" i="1"/>
  <c r="BJ59" i="1" s="1"/>
  <c r="AX59" i="1"/>
  <c r="AW59" i="1"/>
  <c r="BK58" i="1"/>
  <c r="BH58" i="1"/>
  <c r="BJ58" i="1" s="1"/>
  <c r="AX58" i="1"/>
  <c r="AW58" i="1"/>
  <c r="BK57" i="1"/>
  <c r="BH57" i="1"/>
  <c r="BJ57" i="1" s="1"/>
  <c r="AX57" i="1"/>
  <c r="AW57" i="1"/>
  <c r="BK56" i="1"/>
  <c r="BI56" i="1"/>
  <c r="BH56" i="1"/>
  <c r="AX56" i="1"/>
  <c r="AW56" i="1"/>
  <c r="BK55" i="1"/>
  <c r="BH55" i="1"/>
  <c r="AX55" i="1"/>
  <c r="AW55" i="1"/>
  <c r="BK54" i="1"/>
  <c r="BH54" i="1"/>
  <c r="BI85" i="1" s="1"/>
  <c r="AX54" i="1"/>
  <c r="AW54" i="1"/>
  <c r="BK53" i="1"/>
  <c r="BH53" i="1"/>
  <c r="BJ53" i="1" s="1"/>
  <c r="AX53" i="1"/>
  <c r="AW53" i="1"/>
  <c r="BK52" i="1"/>
  <c r="BH52" i="1"/>
  <c r="BJ52" i="1" s="1"/>
  <c r="AX52" i="1"/>
  <c r="AW52" i="1"/>
  <c r="BK51" i="1"/>
  <c r="BH51" i="1"/>
  <c r="BJ51" i="1" s="1"/>
  <c r="AX51" i="1"/>
  <c r="AW51" i="1"/>
  <c r="BK50" i="1"/>
  <c r="BH50" i="1"/>
  <c r="BJ50" i="1" s="1"/>
  <c r="AX50" i="1"/>
  <c r="AW50" i="1"/>
  <c r="BK49" i="1"/>
  <c r="BH49" i="1"/>
  <c r="BI49" i="1" s="1"/>
  <c r="AX49" i="1"/>
  <c r="AW49" i="1"/>
  <c r="BK48" i="1"/>
  <c r="BJ48" i="1"/>
  <c r="BI48" i="1"/>
  <c r="BH48" i="1"/>
  <c r="AX48" i="1"/>
  <c r="AW48" i="1"/>
  <c r="BK47" i="1"/>
  <c r="BH47" i="1"/>
  <c r="AX47" i="1"/>
  <c r="AW47" i="1"/>
  <c r="BK46" i="1"/>
  <c r="BH46" i="1"/>
  <c r="BJ46" i="1" s="1"/>
  <c r="AX46" i="1"/>
  <c r="AW46" i="1"/>
  <c r="BK45" i="1"/>
  <c r="BH45" i="1"/>
  <c r="BJ45" i="1" s="1"/>
  <c r="AX45" i="1"/>
  <c r="AW45" i="1"/>
  <c r="BK44" i="1"/>
  <c r="BH44" i="1"/>
  <c r="BJ44" i="1" s="1"/>
  <c r="AX44" i="1"/>
  <c r="AW44" i="1"/>
  <c r="BK43" i="1"/>
  <c r="BH43" i="1"/>
  <c r="BJ43" i="1" s="1"/>
  <c r="AX43" i="1"/>
  <c r="AW43" i="1"/>
  <c r="BK42" i="1"/>
  <c r="BH42" i="1"/>
  <c r="BJ42" i="1" s="1"/>
  <c r="AX42" i="1"/>
  <c r="AW42" i="1"/>
  <c r="BK41" i="1"/>
  <c r="BH41" i="1"/>
  <c r="BJ41" i="1" s="1"/>
  <c r="AX41" i="1"/>
  <c r="AW41" i="1"/>
  <c r="BK40" i="1"/>
  <c r="BI40" i="1"/>
  <c r="BH40" i="1"/>
  <c r="AX40" i="1"/>
  <c r="AW40" i="1"/>
  <c r="BK39" i="1"/>
  <c r="BH39" i="1"/>
  <c r="AX39" i="1"/>
  <c r="AW39" i="1"/>
  <c r="BK38" i="1"/>
  <c r="BH38" i="1"/>
  <c r="BJ38" i="1" s="1"/>
  <c r="AX38" i="1"/>
  <c r="AW38" i="1"/>
  <c r="BK37" i="1"/>
  <c r="BH37" i="1"/>
  <c r="BJ37" i="1" s="1"/>
  <c r="AX37" i="1"/>
  <c r="AW37" i="1"/>
  <c r="BK36" i="1"/>
  <c r="BH36" i="1"/>
  <c r="BJ36" i="1" s="1"/>
  <c r="AX36" i="1"/>
  <c r="AW36" i="1"/>
  <c r="BK35" i="1"/>
  <c r="BH35" i="1"/>
  <c r="BJ56" i="1" s="1"/>
  <c r="AX35" i="1"/>
  <c r="AW35" i="1"/>
  <c r="BK34" i="1"/>
  <c r="BH34" i="1"/>
  <c r="BJ34" i="1" s="1"/>
  <c r="AX34" i="1"/>
  <c r="AW34" i="1"/>
  <c r="BK33" i="1"/>
  <c r="BH33" i="1"/>
  <c r="BI33" i="1" s="1"/>
  <c r="AX33" i="1"/>
  <c r="AW33" i="1"/>
  <c r="BK32" i="1"/>
  <c r="BJ32" i="1"/>
  <c r="BI32" i="1"/>
  <c r="BH32" i="1"/>
  <c r="AX32" i="1"/>
  <c r="AW32" i="1"/>
  <c r="BK31" i="1"/>
  <c r="BH31" i="1"/>
  <c r="AX31" i="1"/>
  <c r="AW31" i="1"/>
  <c r="BK30" i="1"/>
  <c r="BH30" i="1"/>
  <c r="BJ30" i="1" s="1"/>
  <c r="AX30" i="1"/>
  <c r="AW30" i="1"/>
  <c r="BK29" i="1"/>
  <c r="BH29" i="1"/>
  <c r="BJ29" i="1" s="1"/>
  <c r="AX29" i="1"/>
  <c r="AW29" i="1"/>
  <c r="BK28" i="1"/>
  <c r="BH28" i="1"/>
  <c r="BJ28" i="1" s="1"/>
  <c r="AX28" i="1"/>
  <c r="AW28" i="1"/>
  <c r="BK27" i="1"/>
  <c r="BH27" i="1"/>
  <c r="BI27" i="1" s="1"/>
  <c r="AX27" i="1"/>
  <c r="AW27" i="1"/>
  <c r="BK26" i="1"/>
  <c r="BH26" i="1"/>
  <c r="BJ26" i="1" s="1"/>
  <c r="AX26" i="1"/>
  <c r="AW26" i="1"/>
  <c r="BK25" i="1"/>
  <c r="BH25" i="1"/>
  <c r="BJ39" i="1" s="1"/>
  <c r="AX25" i="1"/>
  <c r="AW25" i="1"/>
  <c r="BK24" i="1"/>
  <c r="BJ24" i="1"/>
  <c r="BI24" i="1"/>
  <c r="BH24" i="1"/>
  <c r="BJ114" i="1" s="1"/>
  <c r="AX24" i="1"/>
  <c r="AW24" i="1"/>
  <c r="BK23" i="1"/>
  <c r="BH23" i="1"/>
  <c r="BI109" i="1" s="1"/>
  <c r="AX23" i="1"/>
  <c r="AW23" i="1"/>
  <c r="BK22" i="1"/>
  <c r="BH22" i="1"/>
  <c r="BI10" i="1" s="1"/>
  <c r="AX22" i="1"/>
  <c r="AW22" i="1"/>
  <c r="BK21" i="1"/>
  <c r="BH21" i="1"/>
  <c r="BJ21" i="1" s="1"/>
  <c r="AX21" i="1"/>
  <c r="AW21" i="1"/>
  <c r="BK20" i="1"/>
  <c r="BH20" i="1"/>
  <c r="BJ20" i="1" s="1"/>
  <c r="AX20" i="1"/>
  <c r="AW20" i="1"/>
  <c r="BK19" i="1"/>
  <c r="BH19" i="1"/>
  <c r="BI19" i="1" s="1"/>
  <c r="AX19" i="1"/>
  <c r="AW19" i="1"/>
  <c r="BK18" i="1"/>
  <c r="BH18" i="1"/>
  <c r="BJ18" i="1" s="1"/>
  <c r="AX18" i="1"/>
  <c r="AW18" i="1"/>
  <c r="BK17" i="1"/>
  <c r="BH17" i="1"/>
  <c r="BJ17" i="1" s="1"/>
  <c r="AX17" i="1"/>
  <c r="AW17" i="1"/>
  <c r="BK16" i="1"/>
  <c r="BJ16" i="1"/>
  <c r="BI16" i="1"/>
  <c r="BH16" i="1"/>
  <c r="AX16" i="1"/>
  <c r="AW16" i="1"/>
  <c r="BK15" i="1"/>
  <c r="BH15" i="1"/>
  <c r="AX15" i="1"/>
  <c r="AW15" i="1"/>
  <c r="BK14" i="1"/>
  <c r="BH14" i="1"/>
  <c r="BI69" i="1" s="1"/>
  <c r="AX14" i="1"/>
  <c r="AW14" i="1"/>
  <c r="BK13" i="1"/>
  <c r="BH13" i="1"/>
  <c r="BJ13" i="1" s="1"/>
  <c r="AX13" i="1"/>
  <c r="AW13" i="1"/>
  <c r="BK12" i="1"/>
  <c r="BH12" i="1"/>
  <c r="BJ12" i="1" s="1"/>
  <c r="AX12" i="1"/>
  <c r="AW12" i="1"/>
  <c r="BK11" i="1"/>
  <c r="BH11" i="1"/>
  <c r="BJ11" i="1" s="1"/>
  <c r="AX11" i="1"/>
  <c r="AW11" i="1"/>
  <c r="BK10" i="1"/>
  <c r="BH10" i="1"/>
  <c r="BI77" i="1" s="1"/>
  <c r="AX10" i="1"/>
  <c r="AW10" i="1"/>
  <c r="BK9" i="1"/>
  <c r="BH9" i="1"/>
  <c r="BI9" i="1" s="1"/>
  <c r="AX9" i="1"/>
  <c r="AW9" i="1"/>
  <c r="BK8" i="1"/>
  <c r="BI8" i="1"/>
  <c r="BH8" i="1"/>
  <c r="AX8" i="1"/>
  <c r="AW8" i="1"/>
  <c r="BK7" i="1"/>
  <c r="BH7" i="1"/>
  <c r="AX7" i="1"/>
  <c r="AW7" i="1"/>
  <c r="BK6" i="1"/>
  <c r="BH6" i="1"/>
  <c r="BJ6" i="1" s="1"/>
  <c r="AX6" i="1"/>
  <c r="AW6" i="1"/>
  <c r="BK5" i="1"/>
  <c r="BH5" i="1"/>
  <c r="BJ5" i="1" s="1"/>
  <c r="AX5" i="1"/>
  <c r="AW5" i="1"/>
  <c r="BK4" i="1"/>
  <c r="BH4" i="1"/>
  <c r="BJ4" i="1" s="1"/>
  <c r="AX4" i="1"/>
  <c r="AW4" i="1"/>
  <c r="BK3" i="1"/>
  <c r="BH3" i="1"/>
  <c r="BI2" i="1" s="1"/>
  <c r="AX3" i="1"/>
  <c r="AW3" i="1"/>
  <c r="BK2" i="1"/>
  <c r="BH2" i="1"/>
  <c r="BI45" i="1" s="1"/>
  <c r="AX2" i="1"/>
  <c r="AW2" i="1"/>
  <c r="BJ123" i="1" l="1"/>
  <c r="BI43" i="1"/>
  <c r="BI99" i="1"/>
  <c r="BI30" i="1"/>
  <c r="BI38" i="1"/>
  <c r="BI46" i="1"/>
  <c r="BI54" i="1"/>
  <c r="BI62" i="1"/>
  <c r="BI70" i="1"/>
  <c r="BI78" i="1"/>
  <c r="BI86" i="1"/>
  <c r="BI94" i="1"/>
  <c r="BI102" i="1"/>
  <c r="BI110" i="1"/>
  <c r="BI118" i="1"/>
  <c r="BI126" i="1"/>
  <c r="BI67" i="1"/>
  <c r="BJ3" i="1"/>
  <c r="BJ54" i="1"/>
  <c r="BJ86" i="1"/>
  <c r="BJ126" i="1"/>
  <c r="BI51" i="1"/>
  <c r="BI59" i="1"/>
  <c r="BI65" i="1"/>
  <c r="BI73" i="1"/>
  <c r="BI81" i="1"/>
  <c r="BI89" i="1"/>
  <c r="BI97" i="1"/>
  <c r="BI105" i="1"/>
  <c r="BI113" i="1"/>
  <c r="BI121" i="1"/>
  <c r="BJ64" i="1"/>
  <c r="BI3" i="1"/>
  <c r="BJ75" i="1"/>
  <c r="BJ83" i="1"/>
  <c r="BJ91" i="1"/>
  <c r="BJ14" i="1"/>
  <c r="BJ22" i="1"/>
  <c r="BI17" i="1"/>
  <c r="BI41" i="1"/>
  <c r="BI57" i="1"/>
  <c r="BJ9" i="1"/>
  <c r="BJ25" i="1"/>
  <c r="BJ33" i="1"/>
  <c r="BJ49" i="1"/>
  <c r="BJ104" i="1"/>
  <c r="BJ19" i="1"/>
  <c r="BJ107" i="1"/>
  <c r="BI6" i="1"/>
  <c r="BI25" i="1"/>
  <c r="BI20" i="1"/>
  <c r="BI28" i="1"/>
  <c r="BI36" i="1"/>
  <c r="BI44" i="1"/>
  <c r="BI84" i="1"/>
  <c r="BI92" i="1"/>
  <c r="BI100" i="1"/>
  <c r="BI108" i="1"/>
  <c r="BI116" i="1"/>
  <c r="BI124" i="1"/>
  <c r="BJ112" i="1"/>
  <c r="BI35" i="1"/>
  <c r="BJ27" i="1"/>
  <c r="BJ115" i="1"/>
  <c r="BI4" i="1"/>
  <c r="BI12" i="1"/>
  <c r="BI52" i="1"/>
  <c r="BI60" i="1"/>
  <c r="BI68" i="1"/>
  <c r="BI76" i="1"/>
  <c r="BI11" i="1"/>
  <c r="BI15" i="1"/>
  <c r="BI23" i="1"/>
  <c r="BI55" i="1"/>
  <c r="BI63" i="1"/>
  <c r="BI71" i="1"/>
  <c r="BI79" i="1"/>
  <c r="BI87" i="1"/>
  <c r="BI95" i="1"/>
  <c r="BI103" i="1"/>
  <c r="BI111" i="1"/>
  <c r="BI119" i="1"/>
  <c r="BI127" i="1"/>
  <c r="BJ80" i="1"/>
  <c r="BI31" i="1"/>
  <c r="BI39" i="1"/>
  <c r="BI47" i="1"/>
  <c r="BJ7" i="1"/>
  <c r="BJ15" i="1"/>
  <c r="BJ23" i="1"/>
  <c r="BJ31" i="1"/>
  <c r="BJ47" i="1"/>
  <c r="BJ55" i="1"/>
  <c r="BJ63" i="1"/>
  <c r="BJ71" i="1"/>
  <c r="BJ79" i="1"/>
  <c r="BJ87" i="1"/>
  <c r="BJ95" i="1"/>
  <c r="BJ103" i="1"/>
  <c r="BJ111" i="1"/>
  <c r="BJ119" i="1"/>
  <c r="BJ127" i="1"/>
  <c r="BJ8" i="1"/>
  <c r="BJ35" i="1"/>
  <c r="BI14" i="1"/>
  <c r="BI18" i="1"/>
  <c r="BI34" i="1"/>
  <c r="BI50" i="1"/>
  <c r="BI58" i="1"/>
  <c r="BI66" i="1"/>
  <c r="BI74" i="1"/>
  <c r="BI82" i="1"/>
  <c r="BI90" i="1"/>
  <c r="BI98" i="1"/>
  <c r="BI106" i="1"/>
  <c r="BI114" i="1"/>
  <c r="BI122" i="1"/>
  <c r="BI26" i="1"/>
  <c r="BI42" i="1"/>
  <c r="BJ2" i="1"/>
  <c r="BJ10" i="1"/>
  <c r="BJ90" i="1"/>
  <c r="BJ106" i="1"/>
  <c r="BJ122" i="1"/>
  <c r="BJ72" i="1"/>
  <c r="BI7" i="1"/>
  <c r="BI5" i="1"/>
  <c r="BI13" i="1"/>
  <c r="BI93" i="1"/>
  <c r="BI101" i="1"/>
  <c r="BI117" i="1"/>
  <c r="BI125" i="1"/>
  <c r="BJ40" i="1"/>
  <c r="BI22" i="1"/>
  <c r="BI21" i="1"/>
  <c r="BI29" i="1"/>
  <c r="BI37" i="1"/>
  <c r="BI53" i="1"/>
  <c r="BI61" i="1"/>
</calcChain>
</file>

<file path=xl/sharedStrings.xml><?xml version="1.0" encoding="utf-8"?>
<sst xmlns="http://schemas.openxmlformats.org/spreadsheetml/2006/main" count="1841" uniqueCount="723">
  <si>
    <t>group</t>
  </si>
  <si>
    <t>x</t>
  </si>
  <si>
    <t>y</t>
  </si>
  <si>
    <t>h3_index</t>
  </si>
  <si>
    <t>node</t>
  </si>
  <si>
    <t>Mode_Planned</t>
  </si>
  <si>
    <t>Modes_ForPlot</t>
  </si>
  <si>
    <t>Line_Unique</t>
  </si>
  <si>
    <t>address</t>
  </si>
  <si>
    <t>area</t>
  </si>
  <si>
    <t>Metro</t>
  </si>
  <si>
    <t>location</t>
  </si>
  <si>
    <t>LocationForChart</t>
  </si>
  <si>
    <t>TotalDemand</t>
  </si>
  <si>
    <t>TotalTransfers</t>
  </si>
  <si>
    <t>TransferRate</t>
  </si>
  <si>
    <t>BRT Lines</t>
  </si>
  <si>
    <t>Cable Line Lines</t>
  </si>
  <si>
    <t>Funicular Lines</t>
  </si>
  <si>
    <t>HighSpeed Rail Lines</t>
  </si>
  <si>
    <t>Interurban Rail Lines</t>
  </si>
  <si>
    <t>LRT Lines</t>
  </si>
  <si>
    <t>Metro Lines</t>
  </si>
  <si>
    <t>Suburban Rail Lines</t>
  </si>
  <si>
    <t>pop_0_500</t>
  </si>
  <si>
    <t>emp_0_500</t>
  </si>
  <si>
    <t>pop_500_1000</t>
  </si>
  <si>
    <t>emp_500_1000</t>
  </si>
  <si>
    <t>pop_1000_1500</t>
  </si>
  <si>
    <t>emp_1000_1500</t>
  </si>
  <si>
    <t>TotalPop_2050</t>
  </si>
  <si>
    <t>TotalEmp_2050</t>
  </si>
  <si>
    <t>Region_category</t>
  </si>
  <si>
    <t>Location_category</t>
  </si>
  <si>
    <t>RegionLocation</t>
  </si>
  <si>
    <t>Num_Modes</t>
  </si>
  <si>
    <t>score</t>
  </si>
  <si>
    <t>bus_terminal</t>
  </si>
  <si>
    <t>HubType</t>
  </si>
  <si>
    <t>HubType_Filtered</t>
  </si>
  <si>
    <t>HubTypeHE</t>
  </si>
  <si>
    <t>BusTERMINAL_Clone</t>
  </si>
  <si>
    <t>RegionLocation_Norm</t>
  </si>
  <si>
    <t>score_Norm</t>
  </si>
  <si>
    <t>bus_terminal_Norm</t>
  </si>
  <si>
    <t>TotalDemand_Norm</t>
  </si>
  <si>
    <t>PopEmp_Score_Norm</t>
  </si>
  <si>
    <t>TotalScore_MC</t>
  </si>
  <si>
    <t>Rank_TS_MC</t>
  </si>
  <si>
    <t>Rank_By_TS_MC_By_Metro</t>
  </si>
  <si>
    <t>TotalNumLines</t>
  </si>
  <si>
    <t>Line_Nunique</t>
  </si>
  <si>
    <t>Average_Simulated_Score</t>
  </si>
  <si>
    <t>Overall_Rank</t>
  </si>
  <si>
    <t>Rank_within_HubType</t>
  </si>
  <si>
    <t>LogDemand</t>
  </si>
  <si>
    <t>PopEmp_Score</t>
  </si>
  <si>
    <t>LineNamesHE</t>
  </si>
  <si>
    <t>HubNameHE</t>
  </si>
  <si>
    <t>TotalScore_Manual</t>
  </si>
  <si>
    <t>Rank_TS_Manual</t>
  </si>
  <si>
    <t>Rank_TS_Manual_By_Metro</t>
  </si>
  <si>
    <t>Rank_By_LogDemand</t>
  </si>
  <si>
    <t>['8a2db000676ffff']</t>
  </si>
  <si>
    <t>[511139]</t>
  </si>
  <si>
    <t>['BRT', 'LRT']</t>
  </si>
  <si>
    <t>BRT, רק"ל</t>
  </si>
  <si>
    <t>["['LRT141', 'LRT142']"]</t>
  </si>
  <si>
    <t>Not geocoded</t>
  </si>
  <si>
    <t>תל אביב</t>
  </si>
  <si>
    <t>['טבעת חיצונית']</t>
  </si>
  <si>
    <t>טבעת</t>
  </si>
  <si>
    <t>Not Hub</t>
  </si>
  <si>
    <t>נתניה-כפ"ס דרך טייבה/קלאנסווה (BRT), כפ"ס-נתניה דרך טייבה/קלאנסווה (רק"ל)</t>
  </si>
  <si>
    <t>צומת בארותיים</t>
  </si>
  <si>
    <t>['8a2db001004ffff']</t>
  </si>
  <si>
    <t>[511144]</t>
  </si>
  <si>
    <t>צומת טייבה</t>
  </si>
  <si>
    <t>['8a2db0010557fff']</t>
  </si>
  <si>
    <t>[511146]</t>
  </si>
  <si>
    <t>שיח מסעוד, טייבה</t>
  </si>
  <si>
    <t>['8a2db001086ffff']</t>
  </si>
  <si>
    <t>[511143]</t>
  </si>
  <si>
    <t>תחנת רכבת טייבה</t>
  </si>
  <si>
    <t>['8a2db0015c87fff']</t>
  </si>
  <si>
    <t>[511142]</t>
  </si>
  <si>
    <t>מועצה מקומית קלנסוואה</t>
  </si>
  <si>
    <t>['8a2db003164ffff']</t>
  </si>
  <si>
    <t>[511138]</t>
  </si>
  <si>
    <t>צומת תנובות</t>
  </si>
  <si>
    <t>['8a2db0031907fff']</t>
  </si>
  <si>
    <t>[511135]</t>
  </si>
  <si>
    <t>בן גוריון/כביש 57, כפר יונה</t>
  </si>
  <si>
    <t>['8a2db003505ffff']</t>
  </si>
  <si>
    <t>[511133]</t>
  </si>
  <si>
    <t>העצמאות/העלייה, כפר יונה</t>
  </si>
  <si>
    <t>['8a2db0066057fff', '8a2db006600ffff']</t>
  </si>
  <si>
    <t>[30025, 984890]</t>
  </si>
  <si>
    <t>['BRT', 'Suburban Rail']</t>
  </si>
  <si>
    <t>BRT, רכבת פרברית</t>
  </si>
  <si>
    <t>["['rail_13_1', 'rail_13_2']", "['brt051', 'brt052']"]</t>
  </si>
  <si>
    <t>חיפה</t>
  </si>
  <si>
    <t>['חיפה']</t>
  </si>
  <si>
    <t>חוץ</t>
  </si>
  <si>
    <t>מטרופוליני</t>
  </si>
  <si>
    <t>חריש-ירושלים (רכבת פרברית), ירושלים-חריש (רכבת פרברית), חדרה-באקה אל גרבייה (BRT), באקה אל גרבייה-חדרה (BRT)</t>
  </si>
  <si>
    <t>ברקאי/חריש</t>
  </si>
  <si>
    <t>['8a2db00a580ffff']</t>
  </si>
  <si>
    <t>[511263]</t>
  </si>
  <si>
    <t>צומת טירה</t>
  </si>
  <si>
    <t>['8a2db00a5b67fff']</t>
  </si>
  <si>
    <t>[511148]</t>
  </si>
  <si>
    <t>צומת צור נתן</t>
  </si>
  <si>
    <t>['8a2db0118497fff', '8a2db011a95ffff']</t>
  </si>
  <si>
    <t>[511204, 511237]</t>
  </si>
  <si>
    <t>כיכר האחדות, נתניה</t>
  </si>
  <si>
    <t>['8a2db01186cffff', '8a2db0118677fff', '8a2db011865ffff']</t>
  </si>
  <si>
    <t>[511258, 511203, 511130]</t>
  </si>
  <si>
    <t>['LRT', 'BRT', 'LRT']</t>
  </si>
  <si>
    <t>רק"ל, BRT, רק"ל</t>
  </si>
  <si>
    <t>["['LRT131', 'LRT132']", "['LRT131', 'LRT141', 'LRT132', 'LRT142']"]</t>
  </si>
  <si>
    <t>עירוני</t>
  </si>
  <si>
    <t>נתניה מזרח-הרצליה (רק"ל), הרצליה-נתניה מזרח (רק"ל), נתניה-כפ"ס דרך טייבה/קלאנסווה (BRT), כפ"ס-נתניה דרך טייבה/קלאנסווה (רק"ל)</t>
  </si>
  <si>
    <t>כביש 57/דרך דגניה, נתניה</t>
  </si>
  <si>
    <t>['8a2db0118717fff']</t>
  </si>
  <si>
    <t>[511259]</t>
  </si>
  <si>
    <t>פנקס/המסגר, נתניה</t>
  </si>
  <si>
    <t>['8a2db0118777fff']</t>
  </si>
  <si>
    <t>[511129]</t>
  </si>
  <si>
    <t>["['LRT131', 'LRT141', 'LRT132', 'LRT142']"]</t>
  </si>
  <si>
    <t>נתניה מזרח-הרצליה (רק"ל), נתניה-כפ"ס דרך טייבה/קלאנסווה (BRT), הרצליה-נתניה מזרח (רק"ל), כפ"ס-נתניה דרך טייבה/קלאנסווה (רק"ל)</t>
  </si>
  <si>
    <t>כביש 57/פנקס, נתניה</t>
  </si>
  <si>
    <t>['8a2db01187b7fff']</t>
  </si>
  <si>
    <t>[511260]</t>
  </si>
  <si>
    <t>פנקס/האורג, נתניה</t>
  </si>
  <si>
    <t>['8a2db011a8a7fff']</t>
  </si>
  <si>
    <t>[511238]</t>
  </si>
  <si>
    <t>קלאוזנר/לנטוס, נתניה</t>
  </si>
  <si>
    <t>['8a2db011ac2ffff']</t>
  </si>
  <si>
    <t>[511239]</t>
  </si>
  <si>
    <t>ליבר/לנטוס, נתניה</t>
  </si>
  <si>
    <t>['8a2db011b057fff']</t>
  </si>
  <si>
    <t>[511132]</t>
  </si>
  <si>
    <t>צומת גנות הדר</t>
  </si>
  <si>
    <t>['8a2db011b2b7fff']</t>
  </si>
  <si>
    <t>[511163]</t>
  </si>
  <si>
    <t>["['LRT141', 'LRT-L1']"]</t>
  </si>
  <si>
    <t>נתניה-כפ"ס דרך טייבה/קלאנסווה (BRT), נתניה-אשדוד (רק"ל)</t>
  </si>
  <si>
    <t>צומת השרון</t>
  </si>
  <si>
    <t>['8a2db0143337fff', '8a2db0143317fff']</t>
  </si>
  <si>
    <t>[390513, 984889]</t>
  </si>
  <si>
    <t>["['brt062', 'brt061']", "['rail_11_2', 'rail_12_1', 'rail_11_1', 'rail_12_2']"]</t>
  </si>
  <si>
    <t>חדרה-אור עקיבא (BRT), אור עקיבא-חדרה (BRT), שוקת-זיכרון יעקב (רכבת פרברית), זיכרון יעקב-אשקלון (רכבת פרברית), זיכרון יעקב-שוקת (רכבת פרברית), אשקלון-זיכרון יעקב (רכבת פרברית)</t>
  </si>
  <si>
    <t>תחנת רכבת קיסריה-פרדס חנה</t>
  </si>
  <si>
    <t>['8a2db0154b4ffff', '8a2db0154a67fff']</t>
  </si>
  <si>
    <t>[984883, 400343]</t>
  </si>
  <si>
    <t>['Interurban Rail', 'Suburban Rail', 'BRT']</t>
  </si>
  <si>
    <t>רכבת בינעירונית, רכבת פרברית, BRT</t>
  </si>
  <si>
    <t>["['rail_12_2', 'rail_1_2', 'rail_1_1', 'rail_11_1', 'rail_12_1', 'rail_11_2']", "['brt051', 'brt062']"]</t>
  </si>
  <si>
    <t>ארצי</t>
  </si>
  <si>
    <t>אשקלון-זיכרון יעקב (רכבת פרברית), מודיעין-קרית שמונה (רכבת בינעירונית), קרית שמונה-מודיעין (רכבת בינעירונית), זיכרון יעקב-שוקת (רכבת פרברית), זיכרון יעקב-אשקלון (רכבת פרברית), שוקת-זיכרון יעקב (רכבת פרברית), חדרה-באקה אל גרבייה (BRT), חדרה-אור עקיבא (BRT)</t>
  </si>
  <si>
    <t>תחנת רכבת חדרה-מערב</t>
  </si>
  <si>
    <t>['8a2db0182577fff', '8a2db0182557fff', '8a2db018255ffff']</t>
  </si>
  <si>
    <t>[511164, 400500, 511165]</t>
  </si>
  <si>
    <t>['BRT', 'LRT', 'Suburban Rail']</t>
  </si>
  <si>
    <t>BRT, רק"ל, רכבת פרברית</t>
  </si>
  <si>
    <t>["['LRT141']", "['LRT142', 'LRT-L2', 'LRT-L1']", "['rail_20_2', 'rail_17_2', 'rail_20_1', 'rail_17_1']"]</t>
  </si>
  <si>
    <t>['טבעת תיכונה']</t>
  </si>
  <si>
    <t>נתניה-כפ"ס דרך טייבה/קלאנסווה (BRT), כפ"ס-נתניה דרך טייבה/קלאנסווה (רק"ל), אשדוד-נתניה (רק"ל), נתניה-אשדוד (רק"ל), באר שבע-מודיעין (רכבת פרברית), באר שבע-ראש העין (רכבת פרברית), מודיעין-באר שבע (רכבת פרברית), ראש העין-באר שבע (רכבת פרברית)</t>
  </si>
  <si>
    <t>תחנת רכבת רעננה דרום</t>
  </si>
  <si>
    <t>['8a2db018276ffff', '8a2db018272ffff', '8a2db0182777fff']</t>
  </si>
  <si>
    <t>[511162, 525060, 521039]</t>
  </si>
  <si>
    <t>['LRT', 'Metro', 'LRT', 'BRT', 'LRT']</t>
  </si>
  <si>
    <t>רק"ל, מטרו, רק"ל, BRT, רק"ל</t>
  </si>
  <si>
    <t>["['Me1-1S', 'Me1-2S', 'Me1-2N', 'East-S', 'Me1-1N']", "['LRT142']", "['LRT141', 'LRT142']"]</t>
  </si>
  <si>
    <t>כפר סבא-צומת בילו (דרך רעננה) (מטרו), כפר סבא-צומת בילו (דרך הוד השרון) (מטרו), צומת בילו-כפר סבא (דרך הוד השרון) (מטרו), צומת בילו-צומת רעננה (רק"ל), צומת בילו-כפר סבא (דרך רעננה) (מטרו), כפ"ס-נתניה דרך טייבה/קלאנסווה (רק"ל), נתניה-כפ"ס דרך טייבה/קלאנסווה (BRT)</t>
  </si>
  <si>
    <t>ויצמן/טשרניחובסקי, כפר סבא</t>
  </si>
  <si>
    <t>['8a2db018328ffff']</t>
  </si>
  <si>
    <t>[511155]</t>
  </si>
  <si>
    <t>צומת בית ברל</t>
  </si>
  <si>
    <t>['8a2db0183417fff', '8a2db01834a7fff']</t>
  </si>
  <si>
    <t>[525295, 511159]</t>
  </si>
  <si>
    <t>['BRT', 'BRT', 'LRT']</t>
  </si>
  <si>
    <t>BRT, BRT, רק"ל</t>
  </si>
  <si>
    <t>["['Hz-KS2', 'Hz-KS1']", "['LRT141', 'LRT142']"]</t>
  </si>
  <si>
    <t>הרצליה-כפר סבא (BRT), כפר סבא-הרצליה (BRT), נתניה-כפ"ס דרך טייבה/קלאנסווה (BRT), כפ"ס-נתניה דרך טייבה/קלאנסווה (רק"ל)</t>
  </si>
  <si>
    <t>בן יהודה/טשרניחובסקי, כפר סבא</t>
  </si>
  <si>
    <t>['8a2db0186c67fff', '8a2db0186c6ffff']</t>
  </si>
  <si>
    <t>[525308, 521037]</t>
  </si>
  <si>
    <t>['BRT', 'Metro']</t>
  </si>
  <si>
    <t>BRT, מטרו</t>
  </si>
  <si>
    <t>["['Me1-1N', 'Me1-1S']", "['Hz-KS2', 'Hz-KS1']"]</t>
  </si>
  <si>
    <t>['טבעת פנימית']</t>
  </si>
  <si>
    <t>צומת בילו-כפר סבא (דרך רעננה) (מטרו), כפר סבא-צומת בילו (דרך רעננה) (מטרו), הרצליה-כפר סבא (BRT), כפר סבא-הרצליה (BRT)</t>
  </si>
  <si>
    <t>תחנת רכבת רעננה מערב</t>
  </si>
  <si>
    <t>['8a2db018861ffff']</t>
  </si>
  <si>
    <t>[511152]</t>
  </si>
  <si>
    <t>מגדל המים, טירה</t>
  </si>
  <si>
    <t>['8a2db018a967fff']</t>
  </si>
  <si>
    <t>[511153]</t>
  </si>
  <si>
    <t>צומת רמת הכובש</t>
  </si>
  <si>
    <t>['8a2db0190207fff']</t>
  </si>
  <si>
    <t>[521070]</t>
  </si>
  <si>
    <t>["['Yelw-N', 'Me1-2N', 'Me1-2S', 'Yelw-S']"]</t>
  </si>
  <si>
    <t>רצועת הנופש-צומת חולון (BRT), צומת בילו-כפר סבא (דרך הוד השרון) (מטרו), כפר סבא-צומת בילו (דרך הוד השרון) (מטרו), צומת חולון-רצועת הנופש (BRT)</t>
  </si>
  <si>
    <t>תיכון הדרים, הוד השרון</t>
  </si>
  <si>
    <t>['8a2db0190b87fff']</t>
  </si>
  <si>
    <t>[521069]</t>
  </si>
  <si>
    <t>המחתרות, הוד השרון</t>
  </si>
  <si>
    <t>['8a2db0191117fff']</t>
  </si>
  <si>
    <t>[521071]</t>
  </si>
  <si>
    <t>['LRT', 'Metro']</t>
  </si>
  <si>
    <t>רק"ל, מטרו</t>
  </si>
  <si>
    <t>["['East-N', 'Me1-2N', 'East-S', 'Me1-2S']"]</t>
  </si>
  <si>
    <t>צומת רעננה-צומת בילו (רק"ל), צומת בילו-כפר סבא (דרך הוד השרון) (מטרו), צומת בילו-צומת רעננה (רק"ל), כפר סבא-צומת בילו (דרך הוד השרון) (מטרו)</t>
  </si>
  <si>
    <t>מגדיאל/רמתיים, הוד השרון</t>
  </si>
  <si>
    <t>['8a2db01915b7fff']</t>
  </si>
  <si>
    <t>[525203]</t>
  </si>
  <si>
    <t>["['East-N', 'East-S', 'Yelw-S']"]</t>
  </si>
  <si>
    <t>צומת רעננה-צומת בילו (רק"ל), צומת בילו-צומת רעננה (רק"ל), צומת חולון-רצועת הנופש (BRT)</t>
  </si>
  <si>
    <t>ירקונה/רמתיים, הוד השרון</t>
  </si>
  <si>
    <t>['8a2db019421ffff']</t>
  </si>
  <si>
    <t>[521068]</t>
  </si>
  <si>
    <t>תע"ש השרון - מזרח</t>
  </si>
  <si>
    <t>['8a2db0194aa7fff']</t>
  </si>
  <si>
    <t>[521067]</t>
  </si>
  <si>
    <t>תע"ש השרון - מערב</t>
  </si>
  <si>
    <t>['8a2db01982effff', '8a2db01982f7fff']</t>
  </si>
  <si>
    <t>[525090, 400254]</t>
  </si>
  <si>
    <t>['Metro', 'Suburban Rail']</t>
  </si>
  <si>
    <t>מטרו, רכבת פרברית</t>
  </si>
  <si>
    <t>["['rail_10_1', 'rail_13_1', 'rail_13_2', 'rail_15_1', 'rail_10_2', 'rail_15_2']", "['Me1-1S', 'Me1-2S']"]</t>
  </si>
  <si>
    <t>בית שאן-הרצליה (רכבת פרברית), חריש-ירושלים (רכבת פרברית), ירושלים-חריש (רכבת פרברית), חדרה-שוקת (רכבת פרברית), הרצליה-בית שאן (רכבת פרברית), שוקת-חדרה (רכבת פרברית), כפר סבא-צומת בילו (דרך רעננה) (מטרו), כפר סבא-צומת בילו (דרך הוד השרון) (מטרו)</t>
  </si>
  <si>
    <t>אזור תעסוקה בנימין</t>
  </si>
  <si>
    <t>['8a2db01988e7fff', '8a2db01988effff']</t>
  </si>
  <si>
    <t>[525290, 525063]</t>
  </si>
  <si>
    <t>["['Me1-2N', 'Me1-1N', 'Me1-1S', 'Me1-2S']", "['Hz-KS2', 'Hz-KS1']"]</t>
  </si>
  <si>
    <t>צומת בילו-כפר סבא (דרך הוד השרון) (מטרו), צומת בילו-כפר סבא (דרך רעננה) (מטרו), כפר סבא-צומת בילו (דרך רעננה) (מטרו), כפר סבא-צומת בילו (דרך הוד השרון) (מטרו), הרצליה-כפר סבא (BRT), כפר סבא-הרצליה (BRT)</t>
  </si>
  <si>
    <t>הורוביץ/הפועל, כפר סבא</t>
  </si>
  <si>
    <t>['8a2db01a8d67fff', '8a2db01ac6c7fff']</t>
  </si>
  <si>
    <t>[400030, 511246]</t>
  </si>
  <si>
    <t>['LRT', 'Suburban Rail']</t>
  </si>
  <si>
    <t>רק"ל, רכבת פרברית</t>
  </si>
  <si>
    <t>["['LRT131', 'LRT132', 'LRT122', 'LRT121']", "['rail_11_2', 'rail_14_2', 'rail_14_1', 'rail_11_1']"]</t>
  </si>
  <si>
    <t>נתניה מזרח-הרצליה (רק"ל), הרצליה-נתניה מזרח (רק"ל), הרצליה-נתניה מערב (רק"ל), נתניה מערב-הרצליה (רק"ל), שוקת-זיכרון יעקב (רכבת פרברית), ירושלים-נתניה (רכבת פרברית), נתניה-ירושלים (רכבת פרברית), זיכרון יעקב-שוקת (רכבת פרברית)</t>
  </si>
  <si>
    <t>תחנת רכבת בית יהושוע</t>
  </si>
  <si>
    <t>['8a2db01ad5a7fff', '8a2db01ac257fff', '8a2db01ac2effff']</t>
  </si>
  <si>
    <t>[511226, 511227, 511228]</t>
  </si>
  <si>
    <t>איקאה, נתניה</t>
  </si>
  <si>
    <t>['8a2db01ac85ffff']</t>
  </si>
  <si>
    <t>[511232]</t>
  </si>
  <si>
    <t>אהוד מנור/שוש עטרי, נתניה</t>
  </si>
  <si>
    <t>['8a2db01ad02ffff']</t>
  </si>
  <si>
    <t>[511221]</t>
  </si>
  <si>
    <t>["['LRT141', 'LRT122', 'LRT142', 'LRT121']"]</t>
  </si>
  <si>
    <t>נתניה-כפ"ס דרך טייבה/קלאנסווה (BRT), הרצליה-נתניה מערב (רק"ל), כפ"ס-נתניה דרך טייבה/קלאנסווה (רק"ל), נתניה מערב-הרצליה (רק"ל)</t>
  </si>
  <si>
    <t>הגביש/טרומן, נתניה</t>
  </si>
  <si>
    <t>['8a2db01ad347fff', '8a2db01ad36ffff']</t>
  </si>
  <si>
    <t>[511240, 511241]</t>
  </si>
  <si>
    <t>רייך/לנטוס, נתניה</t>
  </si>
  <si>
    <t>['8a2db01ad50ffff']</t>
  </si>
  <si>
    <t>[511225]</t>
  </si>
  <si>
    <t>בית אדר, נתניה</t>
  </si>
  <si>
    <t>['8a2db01ad56ffff']</t>
  </si>
  <si>
    <t>[511224]</t>
  </si>
  <si>
    <t>גיבורי ישראל/התרופה, נתניה</t>
  </si>
  <si>
    <t>['8a2db01ada9ffff']</t>
  </si>
  <si>
    <t>[511243]</t>
  </si>
  <si>
    <t>אורט הרמלין, נתניה</t>
  </si>
  <si>
    <t>['8a2db01adda7fff']</t>
  </si>
  <si>
    <t>[511230]</t>
  </si>
  <si>
    <t>לבון/בן גוריון, נתניה</t>
  </si>
  <si>
    <t>['8a2db01b00b7fff', '8a2db01b0097fff', '8a2db01b008ffff', '8a2db01b009ffff']</t>
  </si>
  <si>
    <t>[400060, 511253, 511254, 525318]</t>
  </si>
  <si>
    <t>['Interurban Rail', 'Suburban Rail', 'BRT', 'LRT']</t>
  </si>
  <si>
    <t>רכבת בינעירונית, רכבת פרברית, BRT, רק"ל</t>
  </si>
  <si>
    <t>["['LRT131', 'LRT132', 'LRT122', 'LRT121']", "['Hz-KS2', 'Hz-KS1']", "['rail_10_1', 'rail_5_1', 'rail_3_1', 'rail_3_2', 'rail_14_1', 'rail_12_1', 'rail_11_2', 'rail_4_1', 'rail_11_1', 'rail_4_2', 'rail_17_1', 'rail_16_2', 'rail_20_1', 'rail_1_2', 'rail_14_2', 'rail_12_2', 'rail_16_1', 'rail_20_2', 'rail_17_2', 'rail_1_1', 'rail_10_2', 'rail_5_2']"]</t>
  </si>
  <si>
    <t>נתניה מזרח-הרצליה (רק"ל), הרצליה-נתניה מזרח (רק"ל), הרצליה-נתניה מערב (רק"ל), נתניה מערב-הרצליה (רק"ל), הרצליה-כפר סבא (BRT), כפר סבא-הרצליה (BRT), בית שאן-הרצליה (רכבת פרברית), כרמיאל-אשקלון (רכבת בינעירונית), נהריה-באר שבע (רכבת בינעירונית), באר שבע-נהריה (רכבת בינעירונית), נתניה-ירושלים (רכבת פרברית), זיכרון יעקב-אשקלון (רכבת פרברית), שוקת-זיכרון יעקב (רכבת פרברית), עכו-באר שבע (רכבת בינעירונית), זיכרון יעקב-שוקת (רכבת פרברית), באר שבע-עכו (רכבת בינעירונית), ראש העין-באר שבע (רכבת פרברית), בית שמש-הרצליה (רכבת פרברית), מודיעין-באר שבע (רכבת פרברית), מודיעין-קרית שמונה (רכבת בינעירונית), ירושלים-נתניה (רכבת פרברית), אשקלון-זיכרון יעקב (רכבת פרברית), הרצליה-בית שמש (רכבת פרברית), באר שבע-מודיעין (רכבת פרברית), באר שבע-ראש העין (רכבת פרברית), קרית שמונה-מודיעין (רכבת בינעירונית), הרצליה-בית שאן (רכבת פרברית), אשקלון-כרמיאל (רכבת בינעירונית)</t>
  </si>
  <si>
    <t>תחנת רכבת הרצליה</t>
  </si>
  <si>
    <t>['8a2db01b0d1ffff', '8a2db01b0c27fff', '8a2db01b0c07fff']</t>
  </si>
  <si>
    <t>[525321, 523026, 512039]</t>
  </si>
  <si>
    <t>['BRT', 'Metro', 'LRT']</t>
  </si>
  <si>
    <t>BRT, מטרו, רק"ל</t>
  </si>
  <si>
    <t>["['Me03-R', 'Me03-L']", "['LRT132', 'LRT122', 'Grn2-S']", "['Hz-KS2', 'Hz-KS1']"]</t>
  </si>
  <si>
    <t>בת ים-הרצליה (מטרו), הרצליה-בת ים (מטרו), הרצליה-נתניה מזרח (רק"ל), הרצליה-נתניה מערב (רק"ל), הרצליה-חולון (רק"ל), הרצליה-כפר סבא (BRT), כפר סבא-הרצליה (BRT)</t>
  </si>
  <si>
    <t>אבא אבן/נעמי שמר, הרצליה</t>
  </si>
  <si>
    <t>['8a2db01b314ffff', '8a2db01b3157fff']</t>
  </si>
  <si>
    <t>[525313, 521034]</t>
  </si>
  <si>
    <t>בן גוריון/סוקולוב, הרצליה</t>
  </si>
  <si>
    <t>['8a2db030801ffff']</t>
  </si>
  <si>
    <t>[36985, 31634]</t>
  </si>
  <si>
    <t>['Suburban Rail', 'BRT']</t>
  </si>
  <si>
    <t>רכבת פרברית, BRT</t>
  </si>
  <si>
    <t>["['rail_10_1', 'rail_7_1', 'rail_7_2', 'rail_10_2', 'brt041']"]</t>
  </si>
  <si>
    <t>צפון</t>
  </si>
  <si>
    <t>['צפון']</t>
  </si>
  <si>
    <t>בית שאן-הרצליה (רכבת פרברית), טבריה-עתלית (רכבת פרברית), עתלית-טבריה (רכבת פרברית), הרצליה-בית שאן (רכבת פרברית), עפולה-נצרת (BRT)</t>
  </si>
  <si>
    <t>תחנת רכבת עפולה</t>
  </si>
  <si>
    <t>['8a2db032c78ffff', '8a2db032c797fff']</t>
  </si>
  <si>
    <t>[31633, 36847]</t>
  </si>
  <si>
    <t>["['brt031']", "['rail_7_1', 'rail_7_2', 'rail_10_1', 'rail_10_2']"]</t>
  </si>
  <si>
    <t>כפר ברוך-נצרת (BRT), טבריה-עתלית (רכבת פרברית), עתלית-טבריה (רכבת פרברית), בית שאן-הרצליה (רכבת פרברית), הרצליה-בית שאן (רכבת פרברית)</t>
  </si>
  <si>
    <t>תחנת רכבת כפר ברוך</t>
  </si>
  <si>
    <t>['8a2db0371c87fff', '8a2db0371c9ffff', '8a2db037022ffff', '8a2db037035ffff', '8a2db0371c97fff']</t>
  </si>
  <si>
    <t>[36964, 36965, 35023, 34034, 36987, 36990]</t>
  </si>
  <si>
    <t>['BRT', 'LRT', 'BRT']</t>
  </si>
  <si>
    <t>BRT, רק"ל, BRT</t>
  </si>
  <si>
    <t>["['brt032', 'brt031']", "['brt032', 'brt031', 'brt041', 'brt042']", "['lrt05', 'lrt03', 'brt042', 'brt032', 'lrt01']"]</t>
  </si>
  <si>
    <t>נצרת-כפר ברוך (BRT), כפר ברוך-נצרת (BRT), עפולה-נצרת (BRT), נצרת-עפולה (BRT), נצרת-אחיהוד (רק"ל), נצרת-חוף הכרמל (רק"ל), נצרת-מרכזית המפרץ (רק"ל)</t>
  </si>
  <si>
    <t>כיכר המוסכים, נצרת</t>
  </si>
  <si>
    <t>['8a2db04d2c67fff', '8a2db04d2d5ffff']</t>
  </si>
  <si>
    <t>[51106, 51018, 50011]</t>
  </si>
  <si>
    <t>['HighSpeed Rail', 'Interurban Rail', 'Suburban Rail', 'LRT', 'LRT']</t>
  </si>
  <si>
    <t>רכבת מהירה, רכבת בינעירונית, רכבת פרברית, רק"ל, רק"ל</t>
  </si>
  <si>
    <t>["['rail_21_1', 'LRT61', 'LRT71', 'LRT62', 'rail_8_1', 'rail_21_2', 'rail_13_1', 'rail_13_2', 'rail_8_2', 'LRT72', 'rail_14_1', 'rail_18_1', 'rail_14_2', 'rail_18_2']", "['LRT31', 'LRT11', 'LRT32', 'LRT12']"]</t>
  </si>
  <si>
    <t>ירושלים</t>
  </si>
  <si>
    <t>['גלעין']</t>
  </si>
  <si>
    <t>גלעין</t>
  </si>
  <si>
    <t>ירושלים-באר שבע (רכבת בינעירונית), כחול כיוון 1 (רק"ל), תכלת כיוון 1 (רק"ל), כחול כיוון 2 (רק"ל), חיפה-ירושלים (רכבת מהירה), באר שבע-ירושלים (רכבת בינעירונית), חריש-ירושלים (רכבת פרברית), ירושלים-חריש (רכבת פרברית), ירושלים-חיפה (רכבת מהירה), תכלת כיוון 2 (רק"ל), נתניה-ירושלים (רכבת פרברית), מודיעין-ירושלים (רכבת פרברית), ירושלים-נתניה (רכבת פרברית), ירושלים-מודיעין (רכבת פרברית), ורוד כיוון 1 (רק"ל), אדום כיוון 1 (רק"ל), ורוד כיוון 2 (רק"ל), אדום כיוון 2 (רק"ל)</t>
  </si>
  <si>
    <t>תחנת רכבת ירושלים-מרכז</t>
  </si>
  <si>
    <t>['8a2db04d60e7fff', '8a2db04d60f7fff', '8a2db04d6087fff']</t>
  </si>
  <si>
    <t>[51182, 50202, 51022, 51103]</t>
  </si>
  <si>
    <t>['HighSpeed Rail', 'Interurban Rail', 'Suburban Rail', 'LRT']</t>
  </si>
  <si>
    <t>רכבת מהירה, רכבת בינעירונית, רכבת פרברית, רק"ל</t>
  </si>
  <si>
    <t>["['LRT22', 'LRT51', 'LRT42', 'LRT52', 'LRT21', 'LRT11', 'LRT41', 'LRT12']", "['rail_21_1', 'rail_8_1', 'rail_21_2', 'rail_13_1', 'rail_13_2', 'rail_8_2', 'rail_14_1', 'rail_18_1', 'rail_14_2', 'rail_18_2']", "['LRT31', 'LRT41', 'LRT32', 'LRT42']"]</t>
  </si>
  <si>
    <t>אדום מקווקו כיוון 2 (רק"ל), ירוק בהיר כיוון 1 (רק"ל), ירוק כיוון 2 (רק"ל), ירוק בהיר כיוון 2 (רק"ל), אדום מקווקו כיוון 1 (רק"ל), אדום כיוון 1 (רק"ל), ירוק כיוון 1 (רק"ל), אדום כיוון 2 (רק"ל), ירושלים-באר שבע (רכבת בינעירונית), חיפה-ירושלים (רכבת מהירה), באר שבע-ירושלים (רכבת בינעירונית), חריש-ירושלים (רכבת פרברית), ירושלים-חריש (רכבת פרברית), ירושלים-חיפה (רכבת מהירה), נתניה-ירושלים (רכבת פרברית), מודיעין-ירושלים (רכבת פרברית), ירושלים-נתניה (רכבת פרברית), ירושלים-מודיעין (רכבת פרברית), ורוד כיוון 1 (רק"ל), ורוד כיוון 2 (רק"ל)</t>
  </si>
  <si>
    <t>תחנת רכבת ירושלים-יצחק נבון</t>
  </si>
  <si>
    <t>['8a2db0503047fff', '8a2db050315ffff']</t>
  </si>
  <si>
    <t>[525209, 400181]</t>
  </si>
  <si>
    <t>["['East-N', 'East-S']", "['rail_20_2', 'rail_19_1', 'rail_19_2', 'rail_20_1']"]</t>
  </si>
  <si>
    <t>צומת רעננה-צומת בילו (רק"ל), צומת בילו-צומת רעננה (רק"ל), באר שבע-מודיעין (רכבת פרברית), מודיעין-אשדוד (רכבת פרברית), אשדוד-מודיעין (רכבת פרברית), מודיעין-באר שבע (רכבת פרברית)</t>
  </si>
  <si>
    <t>תחנת רכבת רמלה-דרום</t>
  </si>
  <si>
    <t>['8a2db050696ffff', '8a2db050695ffff', '8a2db0504597fff', '8a2db050458ffff', '8a2db0504587fff']</t>
  </si>
  <si>
    <t>[512161, 521006, 512111, 511035, 400350]</t>
  </si>
  <si>
    <t>['Interurban Rail', 'Suburban Rail', 'Metro', 'LRT']</t>
  </si>
  <si>
    <t>רכבת בינעירונית, רכבת פרברית, מטרו, רק"ל</t>
  </si>
  <si>
    <t>["['rail_12_2', 'rail_5_1', 'rail_19_2', 'rail_12_1', 'rail_19_1', 'rail_5_2']", "['Me1-2N', 'Me1-1N', 'Me1-1S', 'Me1-2S']", "['Light-Blue_S', 'Turquoise_S']", "['Light-Blue_S', 'Turquoise_S', 'Turquoise_N']", "['L1-S']"]</t>
  </si>
  <si>
    <t>אשקלון-זיכרון יעקב (רכבת פרברית), כרמיאל-אשקלון (רכבת בינעירונית), אשדוד-מודיעין (רכבת פרברית), זיכרון יעקב-אשקלון (רכבת פרברית), מודיעין-אשדוד (רכבת פרברית), אשקלון-כרמיאל (רכבת בינעירונית), צומת בילו-כפר סבא (דרך הוד השרון) (מטרו), צומת בילו-כפר סבא (דרך רעננה) (מטרו), כפר סבא-צומת בילו (דרך רעננה) (מטרו), כפר סבא-צומת בילו (דרך הוד השרון) (מטרו), יבנה מערב-רחובות (רק"ל), רחובות-יבנה מזרח (רק"ל), יבנה מזרח-רחובות (רק"ל), רחובות-אשדוד (דרך הנמל) (רק"ל)</t>
  </si>
  <si>
    <t>תחנת רכבת רחובות</t>
  </si>
  <si>
    <t>['8a2db0508adffff', '8a2db050832ffff']</t>
  </si>
  <si>
    <t>[515801, 521078]</t>
  </si>
  <si>
    <t>["['BRT2-2', 'BRT1-2', 'BRT1-1', 'BRT2-1']", "['Yelw-N', 'East-N', 'East-S', 'Yelw-S']"]</t>
  </si>
  <si>
    <t>אירפורט סיטי-אסף הרופא (BRT), לוד-תחנה מרכזית ראשל"צ (BRT), תחנה מרכזית ראשל"צ-לוד (BRT), אסף הרופא-אירפורט סיטי (BRT), רצועת הנופש-צומת חולון (BRT), צומת רעננה-צומת בילו (רק"ל), צומת בילו-צומת רעננה (רק"ל), צומת חולון-רצועת הנופש (BRT)</t>
  </si>
  <si>
    <t>אבא הלל סילבר/מבצע יונתן</t>
  </si>
  <si>
    <t>['8a2db0509d87fff', '8a2db050836ffff', '8a2db0509d8ffff']</t>
  </si>
  <si>
    <t>[525088, 515070, 515078]</t>
  </si>
  <si>
    <t>["['BRT2-2', 'BRT1-2', 'BRT1-1', 'BRT2-1']", "['East-S']"]</t>
  </si>
  <si>
    <t>אירפורט סיטי-אסף הרופא (BRT), לוד-תחנה מרכזית ראשל"צ (BRT), תחנה מרכזית ראשל"צ-לוד (BRT), אסף הרופא-אירפורט סיטי (BRT), צומת בילו-צומת רעננה (רק"ל)</t>
  </si>
  <si>
    <t>אבא הלל סילבר/נדא, לוד</t>
  </si>
  <si>
    <t>['8a2db0508547fff']</t>
  </si>
  <si>
    <t>[521043]</t>
  </si>
  <si>
    <t>["['Yelw-N', 'East-N', 'East-S', 'Yelw-S']"]</t>
  </si>
  <si>
    <t>רצועת הנופש-צומת חולון (BRT), צומת רעננה-צומת בילו (רק"ל), צומת בילו-צומת רעננה (רק"ל), צומת חולון-רצועת הנופש (BRT)</t>
  </si>
  <si>
    <t>קניון לוד</t>
  </si>
  <si>
    <t>['8a2db050dcd7fff', '8a2db050dcdffff', '8a2db050d567fff']</t>
  </si>
  <si>
    <t>[521080, 170132, 400310]</t>
  </si>
  <si>
    <t>['BRT', 'Interurban Rail']</t>
  </si>
  <si>
    <t>BRT, רכבת בינעירונית</t>
  </si>
  <si>
    <t>["['Yelw-N']", "['BRT1-1']", "['rail_5_1', 'rail_5_2']"]</t>
  </si>
  <si>
    <t>רצועת הנופש-צומת חולון (BRT), תחנה מרכזית ראשל"צ-לוד (BRT), כרמיאל-אשקלון (רכבת בינעירונית), אשקלון-כרמיאל (רכבת בינעירונית)</t>
  </si>
  <si>
    <t>תחנת רכבת לוד-גני אביב</t>
  </si>
  <si>
    <t>['8a2db050e21ffff', '8a2db050e20ffff', '8a2db050e257fff']</t>
  </si>
  <si>
    <t>[515072, 521035, 521044, 515037]</t>
  </si>
  <si>
    <t>שדרות ירושלים/הרמ"א, רמלה</t>
  </si>
  <si>
    <t>['8a2db050e54ffff']</t>
  </si>
  <si>
    <t>[400410, 521045]</t>
  </si>
  <si>
    <t>["['rail_16_2', 'rail_16_1', 'rail_4_1', 'rail_3_1', 'rail_17_2', 'rail_3_2', 'East-N', 'Yelw-N', 'East-S', 'rail_4_2', 'rail_17_1', 'Yelw-S']"]</t>
  </si>
  <si>
    <t>בית שמש-הרצליה (רכבת פרברית), הרצליה-בית שמש (רכבת פרברית), עכו-באר שבע (רכבת בינעירונית), נהריה-באר שבע (רכבת בינעירונית), באר שבע-ראש העין (רכבת פרברית), באר שבע-נהריה (רכבת בינעירונית), צומת רעננה-צומת בילו (רק"ל), רצועת הנופש-צומת חולון (BRT), צומת בילו-צומת רעננה (רק"ל), באר שבע-עכו (רכבת בינעירונית), ראש העין-באר שבע (רכבת פרברית), צומת חולון-רצועת הנופש (BRT)</t>
  </si>
  <si>
    <t>תחנת רכבת רמלה</t>
  </si>
  <si>
    <t>['8a2db0515cb7fff', '8a2db0515ca7fff']</t>
  </si>
  <si>
    <t>[521002, 525212, 525494]</t>
  </si>
  <si>
    <t>['LRT', 'BRT', 'Metro']</t>
  </si>
  <si>
    <t>רק"ל, BRT, מטרו</t>
  </si>
  <si>
    <t>["['East-N', 'RH-GY1']", "['Me1-2N', 'Me1-1N']"]</t>
  </si>
  <si>
    <t>צומת רעננה-צומת בילו (רק"ל), רחובות-גן יבנה (דרך אשדוד) (BRT), צומת בילו-כפר סבא (דרך הוד השרון) (מטרו), צומת בילו-כפר סבא (דרך רעננה) (מטרו)</t>
  </si>
  <si>
    <t>צומת בילו/בית חולים קפלן</t>
  </si>
  <si>
    <t>['8a2db0521057fff', '8a2db052102ffff', '8a2db05210effff']</t>
  </si>
  <si>
    <t>[511273, 150274, 516022, 515022]</t>
  </si>
  <si>
    <t>['BRT', 'LRT', 'BRT', 'LRT']</t>
  </si>
  <si>
    <t>BRT, רק"ל, BRT, רק"ל</t>
  </si>
  <si>
    <t>["['LRT-L2', 'LRT-L1']", "['ART1-1', 'BRT1-1', 'ART1-2', 'ART2-1', 'BRT1-2', 'ART2-2']", "['BRT1-2']"]</t>
  </si>
  <si>
    <t>אשדוד-נתניה (רק"ל), נתניה-אשדוד (רק"ל), מתחם ה-1000-אסף הרופא (רק"ל), תחנה מרכזית ראשל"צ-לוד (BRT), אסף הרופא-מתחם ה-1000 (רק"ל), חוף ראשל"צ-אסף הרופא (רק"ל), לוד-תחנה מרכזית ראשל"צ (BRT), אסף הרופא-חוף ראשל"צ (רק"ל)</t>
  </si>
  <si>
    <t>תחנה מרכזית חדשה, ראשון לציון</t>
  </si>
  <si>
    <t>['8a2db0521667fff', '8a2db052174ffff', '8a2db0521767fff']</t>
  </si>
  <si>
    <t>[515049, 515021, 516023, 516024, 150620]</t>
  </si>
  <si>
    <t>["['BRT1-2', 'BRT1-1']", "['ART1-1', 'ART2-1', 'ART2-2', 'ART1-2']", "['ART1-1', 'BRT1-1', 'ART1-2', 'ART2-1', 'BRT1-2', 'ART2-2']"]</t>
  </si>
  <si>
    <t>לוד-תחנה מרכזית ראשל"צ (BRT), תחנה מרכזית ראשל"צ-לוד (BRT), מתחם ה-1000-אסף הרופא (רק"ל), חוף ראשל"צ-אסף הרופא (רק"ל), אסף הרופא-חוף ראשל"צ (רק"ל), אסף הרופא-מתחם ה-1000 (רק"ל)</t>
  </si>
  <si>
    <t>רוטשילד/רמז, ראשון לציון</t>
  </si>
  <si>
    <t>['8a2db0523227fff', '8a2db0523357fff']</t>
  </si>
  <si>
    <t>[521009, 400190]</t>
  </si>
  <si>
    <t>["['Me1-2N', 'Me1-1N', 'Me1-1S', 'Me1-2S']", "['rail_20_2', 'rail_20_1']"]</t>
  </si>
  <si>
    <t>צומת בילו-כפר סבא (דרך הוד השרון) (מטרו), צומת בילו-כפר סבא (דרך רעננה) (מטרו), כפר סבא-צומת בילו (דרך רעננה) (מטרו), כפר סבא-צומת בילו (דרך הוד השרון) (מטרו), באר שבע-מודיעין (רכבת פרברית), מודיעין-באר שבע (רכבת פרברית)</t>
  </si>
  <si>
    <t>תחנת רכבת הראשונים</t>
  </si>
  <si>
    <t>['8a2db052a867fff', '8a2db052a82ffff']</t>
  </si>
  <si>
    <t>[515008, 525559, 516039]</t>
  </si>
  <si>
    <t>["['ART1-1', 'ART2-1', 'ART2-2', 'ART1-2']", "['ART1-1', 'BRT1-1', 'ART1-2', 'ART2-1', 'BRT1-2', 'ART2-2']"]</t>
  </si>
  <si>
    <t>מתחם ה-1000-אסף הרופא (רק"ל), חוף ראשל"צ-אסף הרופא (רק"ל), אסף הרופא-חוף ראשל"צ (רק"ל), אסף הרופא-מתחם ה-1000 (רק"ל), תחנה מרכזית ראשל"צ-לוד (BRT), לוד-תחנה מרכזית ראשל"צ (BRT)</t>
  </si>
  <si>
    <t>הנוריות, ראשון לציון</t>
  </si>
  <si>
    <t>['8a2db052a9affff']</t>
  </si>
  <si>
    <t>[516037, 515013]</t>
  </si>
  <si>
    <t>["['ART1-1', 'BRT1-1', 'ART1-2', 'ART2-1', 'BRT1-2', 'ART2-2']"]</t>
  </si>
  <si>
    <t>מתחם ה-1000-אסף הרופא (רק"ל), תחנה מרכזית ראשל"צ-לוד (BRT), אסף הרופא-מתחם ה-1000 (רק"ל), חוף ראשל"צ-אסף הרופא (רק"ל), לוד-תחנה מרכזית ראשל"צ (BRT), אסף הרופא-חוף ראשל"צ (רק"ל)</t>
  </si>
  <si>
    <t>קרית חינוך יצחק נבון, ראשון לציון</t>
  </si>
  <si>
    <t>['8a2db052aa57fff', '8a2db052aa4ffff', '8a2db052aac7fff']</t>
  </si>
  <si>
    <t>[521049, 515010, 516043, 515074]</t>
  </si>
  <si>
    <t>["['BRT2-2', 'BRT2-1']", "['Yelw-N', 'Yelw-S']", "['BRT2-2', 'ART1-1', 'ART2-1']"]</t>
  </si>
  <si>
    <t>אירפורט סיטי-אסף הרופא (BRT), אסף הרופא-אירפורט סיטי (BRT), רצועת הנופש-צומת חולון (BRT), צומת חולון-רצועת הנופש (BRT), מתחם ה-1000-אסף הרופא (רק"ל), חוף ראשל"צ-אסף הרופא (רק"ל)</t>
  </si>
  <si>
    <t>אסף הרופא</t>
  </si>
  <si>
    <t>['8a2db052e397fff']</t>
  </si>
  <si>
    <t>[516032, 515014]</t>
  </si>
  <si>
    <t>השומר/ירושלים, ראשון לציון</t>
  </si>
  <si>
    <t>['8a2db052e66ffff']</t>
  </si>
  <si>
    <t>[515075, 516035]</t>
  </si>
  <si>
    <t>קלאוזנר/ירושלים, ראשון לציון</t>
  </si>
  <si>
    <t>['8a2db052e98ffff', '8a2db052e9affff', '8a2db052e8affff']</t>
  </si>
  <si>
    <t>[515018, 515026, 521010, 516025, 516026]</t>
  </si>
  <si>
    <t>['Metro', 'BRT', 'LRT']</t>
  </si>
  <si>
    <t>מטרו, BRT, רק"ל</t>
  </si>
  <si>
    <t>["['Me1-2N', 'Me1-1N', 'Me1-1S', 'Me1-2S']", "['ART1-1', 'BRT1-1', 'ART1-2', 'ART2-1', 'BRT1-2', 'ART2-2']"]</t>
  </si>
  <si>
    <t>צומת בילו-כפר סבא (דרך הוד השרון) (מטרו), צומת בילו-כפר סבא (דרך רעננה) (מטרו), כפר סבא-צומת בילו (דרך רעננה) (מטרו), כפר סבא-צומת בילו (דרך הוד השרון) (מטרו), מתחם ה-1000-אסף הרופא (רק"ל), תחנה מרכזית ראשל"צ-לוד (BRT), אסף הרופא-מתחם ה-1000 (רק"ל), חוף ראשל"צ-אסף הרופא (רק"ל), לוד-תחנה מרכזית ראשל"צ (BRT), אסף הרופא-חוף ראשל"צ (רק"ל)</t>
  </si>
  <si>
    <t>רוטשילד/ז'בוטינסקי, ראשון לציון</t>
  </si>
  <si>
    <t>['8a2db0534917fff', '8a2db05349a7fff']</t>
  </si>
  <si>
    <t>[400425, 511054]</t>
  </si>
  <si>
    <t>["['rail_20_2', 'rail_11_2', 'rail_20_1', 'rail_11_1']", "['L2-S']"]</t>
  </si>
  <si>
    <t>באר שבע-מודיעין (רכבת פרברית), שוקת-זיכרון יעקב (רכבת פרברית), מודיעין-באר שבע (רכבת פרברית), זיכרון יעקב-שוקת (רכבת פרברית), יבנה-אשדוד (דרך הנמל) (רק"ל)</t>
  </si>
  <si>
    <t>תחנת רכבת יבנה-מערב</t>
  </si>
  <si>
    <t>['8a2db0536d07fff', '8a2db0536d1ffff', '8a2db0536c0ffff', '8a2db0536c27fff']</t>
  </si>
  <si>
    <t>[400360, 512073, 511055, 512231]</t>
  </si>
  <si>
    <t>['Interurban Rail', 'Suburban Rail', 'LRT']</t>
  </si>
  <si>
    <t>רכבת בינעירונית, רכבת פרברית, רק"ל</t>
  </si>
  <si>
    <t>["['rail_12_2', 'rail_5_1', 'rail_19_2', 'rail_12_1', 'rail_19_1', 'rail_5_2']", "['L2-S', 'L2-N']", "['Light-Blue_S', 'Turquoise_S', 'Turquoise_N']", "['Light-Blue_S']"]</t>
  </si>
  <si>
    <t>אשקלון-זיכרון יעקב (רכבת פרברית), כרמיאל-אשקלון (רכבת בינעירונית), אשדוד-מודיעין (רכבת פרברית), זיכרון יעקב-אשקלון (רכבת פרברית), מודיעין-אשדוד (רכבת פרברית), אשקלון-כרמיאל (רכבת בינעירונית), יבנה-אשדוד (דרך הנמל) (רק"ל), אשדוד-יבנה (דרך הנמל) (רק"ל), יבנה מערב-רחובות (רק"ל), רחובות-יבנה מזרח (רק"ל), יבנה מזרח-רחובות (רק"ל)</t>
  </si>
  <si>
    <t>תחנת רכבת יבנה-מזרח</t>
  </si>
  <si>
    <t>['8a2db0545caffff', '8a2db0545c8ffff']</t>
  </si>
  <si>
    <t>[400252, 525333]</t>
  </si>
  <si>
    <t>["['BBEld1', 'BBEld2']", "['rail_10_1', 'rail_13_1', 'rail_13_2', 'rail_15_1', 'rail_10_2', 'rail_15_2']"]</t>
  </si>
  <si>
    <t>אלעד-פ"ת (BRT), פ"ת-אלעד (BRT), בית שאן-הרצליה (רכבת פרברית), חריש-ירושלים (רכבת פרברית), ירושלים-חריש (רכבת פרברית), חדרה-שוקת (רכבת פרברית), הרצליה-בית שאן (רכבת פרברית), שוקת-חדרה (רכבת פרברית)</t>
  </si>
  <si>
    <t>תחנת רכבת אלעד</t>
  </si>
  <si>
    <t>['8a2db05614a7fff', '8a2db0561487fff']</t>
  </si>
  <si>
    <t>[525339, 522015]</t>
  </si>
  <si>
    <t>["['BBEld1']", "['Me02-W', 'Me02-E']"]</t>
  </si>
  <si>
    <t>אלעד-פ"ת (BRT), סגולה-וולפסון (מטרו), וולפסון-סגולה (מטרו)</t>
  </si>
  <si>
    <t>צומת סירקין</t>
  </si>
  <si>
    <t>['8a2db056434ffff']</t>
  </si>
  <si>
    <t>[523014]</t>
  </si>
  <si>
    <t>["['East-N', 'East-S', 'Me03-L', 'Me03-R']"]</t>
  </si>
  <si>
    <t>צומת רעננה-צומת בילו (רק"ל), צומת בילו-צומת רעננה (רק"ל), הרצליה-בת ים (מטרו), בת ים-הרצליה (מטרו)</t>
  </si>
  <si>
    <t>בית חולים בילינסון</t>
  </si>
  <si>
    <t>['8a2db0564477fff', '8a2db0564447fff']</t>
  </si>
  <si>
    <t>[522012, 523012]</t>
  </si>
  <si>
    <t>['LRT', 'Metro', 'Metro']</t>
  </si>
  <si>
    <t>רק"ל, מטרו, מטרו</t>
  </si>
  <si>
    <t>["['Me03-R', 'East-S', 'Me03-L']", "['Me02-W', 'Me02-E']"]</t>
  </si>
  <si>
    <t>בת ים-הרצליה (מטרו), צומת בילו-צומת רעננה (רק"ל), הרצליה-בת ים (מטרו), סגולה-וולפסון (מטרו), וולפסון-סגולה (מטרו)</t>
  </si>
  <si>
    <t>כיכר יפה נוף, פתח תקווה</t>
  </si>
  <si>
    <t>['8a2db0565977fff', '8a2db0565967fff']</t>
  </si>
  <si>
    <t>[511038, 400550, 523015]</t>
  </si>
  <si>
    <t>['LRT', 'Metro', 'Suburban Rail', 'LRT']</t>
  </si>
  <si>
    <t>רק"ל, מטרו, רכבת פרברית, רק"ל</t>
  </si>
  <si>
    <t>["['rail_20_2', 'Shut-S', 'Red2-S', 'rail_20_1']", "['East-N', 'East-S', 'Me03-L', 'Me03-R']"]</t>
  </si>
  <si>
    <t>באר שבע-מודיעין (רכבת פרברית), פ"ת-ת"א (רק"ל), פ"ת (קרית אריה)-ראשל"צ (רק"ל), מודיעין-באר שבע (רכבת פרברית), צומת רעננה-צומת בילו (רק"ל), צומת בילו-צומת רעננה (רק"ל), הרצליה-בת ים (מטרו), בת ים-הרצליה (מטרו)</t>
  </si>
  <si>
    <t>תחנת רכבת קרית אריה</t>
  </si>
  <si>
    <t>['8a2db05668d7fff']</t>
  </si>
  <si>
    <t>[523025]</t>
  </si>
  <si>
    <t>לוי אשכול/וולך, קרית אונו</t>
  </si>
  <si>
    <t>['8a2db0566d07fff']</t>
  </si>
  <si>
    <t>[523024]</t>
  </si>
  <si>
    <t>שלמה המלך/נחל גמלא, קרית אונו</t>
  </si>
  <si>
    <t>['8a2db0576b87fff', '8a2db057616ffff']</t>
  </si>
  <si>
    <t>[524002, 400415]</t>
  </si>
  <si>
    <t>["['East-N', 'East-S']", "['rail_10_1', 'rail_10_2', 'rail_9_2', 'rail_1_2', 'rail_2_1', 'rail_8_1', 'rail_1_1', 'rail_8_2', 'rail_2_2', 'rail_14_1', 'rail_14_2', 'rail_9_1']"]</t>
  </si>
  <si>
    <t>צומת רעננה-צומת בילו (רק"ל), צומת בילו-צומת רעננה (רק"ל), בית שאן-הרצליה (רכבת פרברית), הרצליה-בית שאן (רכבת פרברית), באר שבע-חיפה (רכבת מהירה), מודיעין-קרית שמונה (רכבת בינעירונית), נהריה-אילת (רכבת מהירה), חיפה-ירושלים (רכבת מהירה), קרית שמונה-מודיעין (רכבת בינעירונית), ירושלים-חיפה (רכבת מהירה), אילת-נהריה (רכבת מהירה), נתניה-ירושלים (רכבת פרברית), ירושלים-נתניה (רכבת פרברית), חיפה-באר שבע (רכבת מהירה)</t>
  </si>
  <si>
    <t>נמל התעופה בן גוריון</t>
  </si>
  <si>
    <t>['8a2db0a0514ffff']</t>
  </si>
  <si>
    <t>[34089, 31603, 1030]</t>
  </si>
  <si>
    <t>['BRT', 'HighSpeed Rail', 'Interurban Rail', 'Suburban Rail', 'LRT']</t>
  </si>
  <si>
    <t>BRT, רכבת מהירה, רכבת בינעירונית, רכבת פרברית, רק"ל</t>
  </si>
  <si>
    <t>["['rail_10_1', 'rail_5_1', 'R324-1', 'rail_8_1', 'rail_3_1', 'rail_3_2', 'rail_6_1', 'lrt08', 'rail_7_1', 'rail_7_2', 'rail_4_1', 'rail_9_1', 'rail_4_2', 'R322-2', 'rail_9_2', 'rail_1_2', 'rail_2_1', 'R324-2', 'lrt04', 'rail_1_1', 'rail_8_2', 'rail_2_2', 'rail_6_2', 'R322-1', 'rail_10_2', 'rail_5_2']"]</t>
  </si>
  <si>
    <t>בית שאן-הרצליה (רכבת פרברית), כרמיאל-אשקלון (רכבת בינעירונית), מרכזית המפרץ-מרכזית חוף הכרמל (דרך חורב) (BRT), חיפה-ירושלים (רכבת מהירה), נהריה-באר שבע (רכבת בינעירונית), באר שבע-נהריה (רכבת בינעירונית), כרמיאל-חיפה (רכבת פרברית), חוף הכרמל-מרכזית הקריות (דרך 22) (רק"ל), טבריה-עתלית (רכבת פרברית), עתלית-טבריה (רכבת פרברית), עכו-באר שבע (רכבת בינעירונית), חיפה-באר שבע (רכבת מהירה), באר שבע-עכו (רכבת בינעירונית), מרכזית חוף הכרמל-מרכזית הקריות (דרך המנהרות) (BRT), באר שבע-חיפה (רכבת מהירה), מודיעין-קרית שמונה (רכבת בינעירונית), נהריה-אילת (רכבת מהירה), מרכזית חוף הכרמל-מרכזית המפרץ (דרך חורב) (BRT), חוף הכרמל-נצרת (רק"ל), קרית שמונה-מודיעין (רכבת בינעירונית), ירושלים-חיפה (רכבת מהירה), אילת-נהריה (רכבת מהירה), חיפה-כרמיאל (רכבת פרברית), מרכזית הקריות-מרכזית חוף הכרמל (דרך המנהרות) (BRT), הרצליה-בית שאן (רכבת פרברית), אשקלון-כרמיאל (רכבת בינעירונית)</t>
  </si>
  <si>
    <t>מרכזית חוף הכרמל</t>
  </si>
  <si>
    <t>['8a2db0a0879ffff', '8a2db0a08457fff', '8a2db0a0ab6ffff', '8a2db0a087b7fff', '8a2db0a084effff']</t>
  </si>
  <si>
    <t>[32001, 34000, 31508, 1017, 31609]</t>
  </si>
  <si>
    <t>['LRT', 'Suburban Rail', 'HighSpeed Rail', 'Interurban Rail', 'Cable Line', 'BRT']</t>
  </si>
  <si>
    <t>רק"ל, רכבת פרברית, רכבת מהירה, רכבת בינעירונית, Cable Line, BRT</t>
  </si>
  <si>
    <t>["['rail_7_1', 'rail_7_2', 'rail_10_1', 'rail_10_2']", "['lrt02', 'lrt03', 'lrt08', 'lrt07', 'lrt04']", "['c001']", "['rail_4_1', 'rail_5_1', 'rail_9_2', 'rail_1_2', 'rail_2_1', 'rail_8_1', 'rail_3_1', 'rail_3_2', 'rail_1_1', 'rail_8_2', 'rail_2_2', 'rail_9_1', 'rail_4_2', 'rail_5_2']", "['R322-2', 'R322-1', 'R331-1', 'R329-1', 'R323-1', 'R323-2', 'R331-2', 'R329-2', 'R321-2', 'R321-1']"]</t>
  </si>
  <si>
    <t>טבריה-עתלית (רכבת פרברית), עתלית-טבריה (רכבת פרברית), בית שאן-הרצליה (רכבת פרברית), הרצליה-בית שאן (רכבת פרברית), מרכזית המפרץ-נצרת (רק"ל), נצרת-חוף הכרמל (רק"ל), חוף הכרמל-מרכזית הקריות (דרך 22) (רק"ל), מרכזית הקריות-חוף הכרמל (דרך 22) (רק"ל), חוף הכרמל-נצרת (רק"ל), לב המפרץ-אוניברסיטת חיפה (רכבל), עכו-באר שבע (רכבת בינעירונית), כרמיאל-אשקלון (רכבת בינעירונית), באר שבע-חיפה (רכבת מהירה), מודיעין-קרית שמונה (רכבת בינעירונית), נהריה-אילת (רכבת מהירה), חיפה-ירושלים (רכבת מהירה), נהריה-באר שבע (רכבת בינעירונית), באר שבע-נהריה (רכבת בינעירונית), קרית שמונה-מודיעין (רכבת בינעירונית), ירושלים-חיפה (רכבת מהירה), אילת-נהריה (רכבת מהירה), חיפה-באר שבע (רכבת מהירה), באר שבע-עכו (רכבת בינעירונית), אשקלון-כרמיאל (רכבת בינעירונית), מרכזית חוף הכרמל-מרכזית הקריות (דרך המנהרות) (BRT), מרכזית הקריות-מרכזית חוף הכרמל (דרך המנהרות) (BRT), גילעם-מרכז הכרמל (דרך המנהרות) (BRT), עכו-מרכזית המפרץ (BRT), מרכזית הקריות-הדר (דרך קרית ים) (BRT), הדר-מרכזית הקריות (דרך קרית ים) (BRT), מרכז הכרמל-גילעם (דרך המנהרות) (BRT), מרכזית המפרץ-עכו (BRT), בת גלים - מרכזית הקריות (BRT), מרכזית הקריות - בת גלים (BRT)</t>
  </si>
  <si>
    <t>מרכזית המפרץ</t>
  </si>
  <si>
    <t>['8a2db0a0ba17fff']</t>
  </si>
  <si>
    <t>[1016, 34005]</t>
  </si>
  <si>
    <t>["['R322-2', 'R322-1', 'R331-1', 'R329-1', 'R323-1', 'lrt02', 'R323-2', 'lrt03', 'lrt08', 'R331-2', 'R329-2', 'R321-2', 'lrt07', 'R321-1', 'lrt04', 'lrt01']"]</t>
  </si>
  <si>
    <t>מרכזית חוף הכרמל-מרכזית הקריות (דרך המנהרות) (BRT), מרכזית הקריות-מרכזית חוף הכרמל (דרך המנהרות) (BRT), גילעם-מרכז הכרמל (דרך המנהרות) (BRT), עכו-מרכזית המפרץ (BRT), מרכזית הקריות-הדר (דרך קרית ים) (BRT), מרכזית המפרץ-נצרת (רק"ל), הדר-מרכזית הקריות (דרך קרית ים) (BRT), נצרת-חוף הכרמל (רק"ל), חוף הכרמל-מרכזית הקריות (דרך 22) (רק"ל), מרכז הכרמל-גילעם (דרך המנהרות) (BRT), מרכזית המפרץ-עכו (BRT), בת גלים - מרכזית הקריות (BRT), מרכזית הקריות-חוף הכרמל (דרך 22) (רק"ל), מרכזית הקריות - בת גלים (BRT), חוף הכרמל-נצרת (רק"ל), נצרת-מרכזית המפרץ (רק"ל)</t>
  </si>
  <si>
    <t>חוצות המפרץ</t>
  </si>
  <si>
    <t>['8a2db0a0ca8ffff', '8a2db0a0c327fff', '8a2db0a0c32ffff']</t>
  </si>
  <si>
    <t>[31616, 34082, 1021]</t>
  </si>
  <si>
    <t>["['rail_4_1', 'rail_10_1', 'rail_5_1', 'rail_1_2', 'rail_3_1', 'rail_3_2', 'rail_1_1', 'rail_6_1', 'rail_6_2', 'rail_7_1', 'rail_7_2', 'rail_10_2', 'rail_4_2', 'rail_5_2']", "['R330-1', 'R327-2', 'R328-1', 'R328-2', 'R325-1', 'R325-2', 'R330-2', 'R321-2', 'R321-1', 'R327-1']", "['lrt07', 'lrt03', 'lrt08', 'lrt04']"]</t>
  </si>
  <si>
    <t>עכו-באר שבע (רכבת בינעירונית), בית שאן-הרצליה (רכבת פרברית), כרמיאל-אשקלון (רכבת בינעירונית), מודיעין-קרית שמונה (רכבת בינעירונית), נהריה-באר שבע (רכבת בינעירונית), באר שבע-נהריה (רכבת בינעירונית), קרית שמונה-מודיעין (רכבת בינעירונית), כרמיאל-חיפה (רכבת פרברית), חיפה-כרמיאל (רכבת פרברית), טבריה-עתלית (רכבת פרברית), עתלית-טבריה (רכבת פרברית), הרצליה-בית שאן (רכבת פרברית), באר שבע-עכו (רכבת בינעירונית), אשקלון-כרמיאל (רכבת בינעירונית), יגור/רכסים-בת גלים (BRT), טירת כרמל-מרכזית המפרץ (דרך ההגנה) (BRT), מרכזית המפרץ-נאות כרמל (דרך ההגנה) (BRT), נאות כרמל-מרכזית המפרץ (דרך ההגנה) (BRT), הטכניון-בת גלים (דרך העצמאות) (BRT), בת גלים-הטכניון (דרך העצמאות) (BRT), בת גלים-יגור/רכסים (BRT), בת גלים - מרכזית הקריות (BRT), מרכזית הקריות - בת גלים (BRT), מרכזית המפרץ-טירת כרמל (דרך ההגנה) (BRT), מרכזית הקריות-חוף הכרמל (דרך 22) (רק"ל), נצרת-חוף הכרמל (רק"ל), חוף הכרמל-מרכזית הקריות (דרך 22) (רק"ל), חוף הכרמל-נצרת (רק"ל)</t>
  </si>
  <si>
    <t>חיפה מזרח</t>
  </si>
  <si>
    <t>['8a2db0a0cb6ffff', '8a2db0a2b787fff']</t>
  </si>
  <si>
    <t>[31501, 1022]</t>
  </si>
  <si>
    <t>['Funicular', 'BRT']</t>
  </si>
  <si>
    <t>פוניקולר, BRT</t>
  </si>
  <si>
    <t>["['R330-1', 'R327-2', 'R328-1', 'R328-2', 'R325-1', 'R325-2', 'R330-2', 'R321-2', 'R321-1', 'R327-1']", "['s0110a']"]</t>
  </si>
  <si>
    <t>יגור/רכסים-בת גלים (BRT), טירת כרמל-מרכזית המפרץ (דרך ההגנה) (BRT), מרכזית המפרץ-נאות כרמל (דרך ההגנה) (BRT), נאות כרמל-מרכזית המפרץ (דרך ההגנה) (BRT), הטכניון-בת גלים (דרך העצמאות) (BRT), בת גלים-הטכניון (דרך העצמאות) (BRT), בת גלים-יגור/רכסים (BRT), בת גלים - מרכזית הקריות (BRT), מרכזית הקריות - בת גלים (BRT), מרכזית המפרץ-טירת כרמל (דרך ההגנה) (BRT), s0110a</t>
  </si>
  <si>
    <t>קרית הממשלה, חיפה</t>
  </si>
  <si>
    <t>['8a2db0a2b807fff', '8a2db0a2b8e7fff']</t>
  </si>
  <si>
    <t>[1024, 34085, 31605]</t>
  </si>
  <si>
    <t>['Interurban Rail', 'Suburban Rail', 'LRT', 'BRT']</t>
  </si>
  <si>
    <t>רכבת בינעירונית, רכבת פרברית, רק"ל, BRT</t>
  </si>
  <si>
    <t>["['R330-1', 'R325-1', 'R325-2', 'R330-2', 'R321-2', 'R321-1']", "['rail_4_1', 'rail_10_1', 'rail_5_1', 'rail_1_2', 'rail_3_1', 'rail_3_2', 'rail_1_1', 'rail_6_1', 'lrt03', 'rail_6_2', 'lrt08', 'lrt04', 'lrt07', 'rail_7_1', 'rail_7_2', 'rail_10_2', 'rail_4_2', 'rail_5_2']"]</t>
  </si>
  <si>
    <t>יגור/רכסים-בת גלים (BRT), הטכניון-בת גלים (דרך העצמאות) (BRT), בת גלים-הטכניון (דרך העצמאות) (BRT), בת גלים-יגור/רכסים (BRT), בת גלים - מרכזית הקריות (BRT), מרכזית הקריות - בת גלים (BRT), עכו-באר שבע (רכבת בינעירונית), בית שאן-הרצליה (רכבת פרברית), כרמיאל-אשקלון (רכבת בינעירונית), מודיעין-קרית שמונה (רכבת בינעירונית), נהריה-באר שבע (רכבת בינעירונית), באר שבע-נהריה (רכבת בינעירונית), קרית שמונה-מודיעין (רכבת בינעירונית), כרמיאל-חיפה (רכבת פרברית), נצרת-חוף הכרמל (רק"ל), חיפה-כרמיאל (רכבת פרברית), חוף הכרמל-מרכזית הקריות (דרך 22) (רק"ל), חוף הכרמל-נצרת (רק"ל), מרכזית הקריות-חוף הכרמל (דרך 22) (רק"ל), טבריה-עתלית (רכבת פרברית), עתלית-טבריה (רכבת פרברית), הרצליה-בית שאן (רכבת פרברית), באר שבע-עכו (רכבת בינעירונית), אשקלון-כרמיאל (רכבת בינעירונית)</t>
  </si>
  <si>
    <t>תחנת רכבת בת גלים</t>
  </si>
  <si>
    <t>['8a2db1da4977fff', '8a2db0a4a2dffff']</t>
  </si>
  <si>
    <t>[31525, 34071]</t>
  </si>
  <si>
    <t>["['lrt06']", "['rail_5_1', 'rail_1_2', 'rail_6_1', 'rail_1_1', 'rail_6_2', 'rail_5_2']"]</t>
  </si>
  <si>
    <t>אחיהוד-נצרת (רק"ל), כרמיאל-אשקלון (רכבת בינעירונית), מודיעין-קרית שמונה (רכבת בינעירונית), כרמיאל-חיפה (רכבת פרברית), קרית שמונה-מודיעין (רכבת בינעירונית), חיפה-כרמיאל (רכבת פרברית), אשקלון-כרמיאל (רכבת בינעירונית)</t>
  </si>
  <si>
    <t>תחנת רכבת אחיהוד</t>
  </si>
  <si>
    <t>['8a2db0a523affff', '8a2db0a52227fff']</t>
  </si>
  <si>
    <t>[34010, 1003]</t>
  </si>
  <si>
    <t>["['R331-1', 'R1002-2', 'R331-2', 'R1001-2', 'R1001-1', 'R1002-1']", "['lrt03', 'lrt02', 'lrt04', 'lrt01']"]</t>
  </si>
  <si>
    <t>גילעם-מרכז הכרמל (דרך המנהרות) (BRT), מרכזית הקריות-גילעם (דרך בן גוריון) (BRT), מרכז הכרמל-גילעם (דרך המנהרות) (BRT), מרכזית הקריות-גילעם (דרך הקריון) (BRT), גילעם-מרכזית הקריות (דרך הקריון) (BRT), גילעם-מרכזית הקריות (דרך בן גוריון) (BRT), נצרת-חוף הכרמל (רק"ל), מרכזית המפרץ-נצרת (רק"ל), חוף הכרמל-נצרת (רק"ל), נצרת-מרכזית המפרץ (רק"ל)</t>
  </si>
  <si>
    <t>אצטדיון קרית אתא</t>
  </si>
  <si>
    <t>['8a2db0a5224ffff', '8a2db0a5225ffff']</t>
  </si>
  <si>
    <t>[1002, 34011]</t>
  </si>
  <si>
    <t>["['lrt03', 'lrt02', 'lrt04', 'lrt01']", "['R1002-2', 'R1002-1']"]</t>
  </si>
  <si>
    <t>נצרת-חוף הכרמל (רק"ל), מרכזית המפרץ-נצרת (רק"ל), חוף הכרמל-נצרת (רק"ל), נצרת-מרכזית המפרץ (רק"ל), מרכזית הקריות-גילעם (דרך בן גוריון) (BRT), גילעם-מרכזית הקריות (דרך בן גוריון) (BRT)</t>
  </si>
  <si>
    <t>יצחק רבין/מנחם בגין, קרית אתא</t>
  </si>
  <si>
    <t>['8a2db0a5471ffff']</t>
  </si>
  <si>
    <t>[31611]</t>
  </si>
  <si>
    <t>['HighSpeed Rail', 'Interurban Rail']</t>
  </si>
  <si>
    <t>רכבת מהירה, רכבת בינעירונית</t>
  </si>
  <si>
    <t>["['rail_4_1', 'rail_5_1', 'rail_1_2', 'rail_3_1', 'rail_2_1', 'rail_3_2', 'rail_1_1', 'rail_2_2', 'rail_4_2', 'rail_5_2']"]</t>
  </si>
  <si>
    <t>עכו-באר שבע (רכבת בינעירונית), כרמיאל-אשקלון (רכבת בינעירונית), מודיעין-קרית שמונה (רכבת בינעירונית), נהריה-באר שבע (רכבת בינעירונית), נהריה-אילת (רכבת מהירה), באר שבע-נהריה (רכבת בינעירונית), קרית שמונה-מודיעין (רכבת בינעירונית), אילת-נהריה (רכבת מהירה), באר שבע-עכו (רכבת בינעירונית), אשקלון-כרמיאל (רכבת בינעירונית)</t>
  </si>
  <si>
    <t>תחנת רכבת קרית מוצקין</t>
  </si>
  <si>
    <t>['8a2db0a552a7fff', '8a2db0a5521ffff']</t>
  </si>
  <si>
    <t>[34051, 1006]</t>
  </si>
  <si>
    <t>["['lrt07']", "['R322-2', 'R322-1', 'R1003-2', 'R323-1', 'R323-2', 'R1002-2', 'R321-2', 'R1001-2', 'R1002-1', 'R1001-1', 'R321-1', 'R1003-1']"]</t>
  </si>
  <si>
    <t>מרכזית הקריות-חוף הכרמל (דרך 22) (רק"ל), מרכזית חוף הכרמל-מרכזית הקריות (דרך המנהרות) (BRT), מרכזית הקריות-מרכזית חוף הכרמל (דרך המנהרות) (BRT), מרכזית הקריות-גילעם (דרך גבעת טל ואח"י אילת) (BRT), מרכזית הקריות-הדר (דרך קרית ים) (BRT), הדר-מרכזית הקריות (דרך קרית ים) (BRT), מרכזית הקריות-גילעם (דרך בן גוריון) (BRT), בת גלים - מרכזית הקריות (BRT), מרכזית הקריות-גילעם (דרך הקריון) (BRT), גילעם-מרכזית הקריות (דרך בן גוריון) (BRT), גילעם-מרכזית הקריות (דרך הקריון) (BRT), מרכזית הקריות - בת גלים (BRT), גילעם-מרכזית הקריות (דרך גבעת טל ואח"י אילת) (BRT)</t>
  </si>
  <si>
    <t>מרכזית הקריות</t>
  </si>
  <si>
    <t>['8a2db0a56557fff', '8a2db0a56427fff']</t>
  </si>
  <si>
    <t>[34006, 1014]</t>
  </si>
  <si>
    <t>["['R331-2', 'R331-1']", "['lrt02', 'lrt03', 'lrt08', 'lrt07', 'lrt04', 'lrt01']"]</t>
  </si>
  <si>
    <t>מרכז הכרמל-גילעם (דרך המנהרות) (BRT), גילעם-מרכז הכרמל (דרך המנהרות) (BRT), מרכזית המפרץ-נצרת (רק"ל), נצרת-חוף הכרמל (רק"ל), חוף הכרמל-מרכזית הקריות (דרך 22) (רק"ל), מרכזית הקריות-חוף הכרמל (דרך 22) (רק"ל), חוף הכרמל-נצרת (רק"ל), נצרת-מרכזית המפרץ (רק"ל)</t>
  </si>
  <si>
    <t>מחלף קרית אתא דרום</t>
  </si>
  <si>
    <t>['8a2db0a6ad97fff']</t>
  </si>
  <si>
    <t>[31622]</t>
  </si>
  <si>
    <t>["['rail_4_1', 'rail_3_1', 'rail_2_1', 'rail_3_2', 'rail_2_2', 'rail_4_2']"]</t>
  </si>
  <si>
    <t>עכו-באר שבע (רכבת בינעירונית), נהריה-באר שבע (רכבת בינעירונית), נהריה-אילת (רכבת מהירה), באר שבע-נהריה (רכבת בינעירונית), אילת-נהריה (רכבת מהירה), באר שבע-עכו (רכבת בינעירונית)</t>
  </si>
  <si>
    <t>תחנת רכבת עכו</t>
  </si>
  <si>
    <t>['8a2db0aed717fff', '8a2db0aed70ffff', '8a2db0aed71ffff', '8a2db0aed737fff']</t>
  </si>
  <si>
    <t>[34063, 34064, 36858, 36860, 36862]</t>
  </si>
  <si>
    <t>["['lrt05', 'lrt06']", "['brt012', 'brt011']", "['lrt05', 'brt012', 'brt011', 'lrt06']"]</t>
  </si>
  <si>
    <t>נצרת-אחיהוד (רק"ל), אחיהוד-נצרת (רק"ל), גילעם-דיר חנא (BRT), דיר חנא-גילעם (BRT)</t>
  </si>
  <si>
    <t>צומת אבליים</t>
  </si>
  <si>
    <t>['8a2db0aedd27fff', '8a2db0aedd07fff']</t>
  </si>
  <si>
    <t>[1000, 36850, 34014]</t>
  </si>
  <si>
    <t>["['lrt05', 'lrt02', 'lrt03', 'lrt06', 'lrt04', 'lrt01']", "['brt012', 'R1002-2', 'R1002-1']"]</t>
  </si>
  <si>
    <t>נצרת-אחיהוד (רק"ל), מרכזית המפרץ-נצרת (רק"ל), נצרת-חוף הכרמל (רק"ל), אחיהוד-נצרת (רק"ל), חוף הכרמל-נצרת (רק"ל), נצרת-מרכזית המפרץ (רק"ל), גילעם-דיר חנא (BRT), מרכזית הקריות-גילעם (דרך בן גוריון) (BRT), גילעם-מרכזית הקריות (דרך בן גוריון) (BRT)</t>
  </si>
  <si>
    <t>מחלף גילעם</t>
  </si>
  <si>
    <t>['8a2db0cc0647fff']</t>
  </si>
  <si>
    <t>[513009, 522003]</t>
  </si>
  <si>
    <t>["['Me02-E', 'Mgt2-W', 'Mgt2-E', 'Mgt1-E', 'Me02-W', 'Mgt3-E', 'Mgt1-W']"]</t>
  </si>
  <si>
    <t>וולפסון-סגולה (מטרו), סבידור-יהוד (רק"ל), יהוד-סבידור (רק"ל), בר אילן-סבידור (רק"ל), סגולה-וולפסון (מטרו), יהוד-אלנבי (רק"ל), סבידור-בר אילן (רק"ל)</t>
  </si>
  <si>
    <t>המלך ג'ורג'/אלנבי, תל אביב</t>
  </si>
  <si>
    <t>['8a2db0cc3187fff', '8a2db0cc3027fff', '8a2db0cc31affff']</t>
  </si>
  <si>
    <t>[512020, 522005, 511015]</t>
  </si>
  <si>
    <t>['Metro', 'LRT']</t>
  </si>
  <si>
    <t>מטרו, רק"ל</t>
  </si>
  <si>
    <t>["['Red-N', 'Shut-N', 'Red-S', 'Red2-N', 'Red2-S', 'Shut-S']", "['Grn2-N', 'Grn3-N', 'Grn2-S', 'Grn1-N', 'Grn1-S', 'Grn3-S']", "['Me02-W', 'Me02-E']"]</t>
  </si>
  <si>
    <t>ראשל"צ-פ"ת (רק"ל), ת"א-פ"ת (רק"ל), פ"ת-ראשל"צ (רק"ל), ראשל"צ-פ"ת (קרית אריה) (רק"ל), פ"ת (קרית אריה)-ראשל"צ (רק"ל), פ"ת-ת"א (רק"ל), חולון-הרצליה (רק"ל), חולון-אונ' ת"א (רק"ל), הרצליה-חולון (רק"ל), ראשל"צ-עתידים (רק"ל), עתידים-ראשל"צ (רק"ל), אונ' ת"א-חולון (רק"ל), סגולה-וולפסון (מטרו), וולפסון-סגולה (מטרו)</t>
  </si>
  <si>
    <t>השוק הסיטונאי, תל אביב</t>
  </si>
  <si>
    <t>['8a2db0cc331ffff', '8a2db0cc3217fff', '8a2db0cc3207fff']</t>
  </si>
  <si>
    <t>[400090, 522006, 521023]</t>
  </si>
  <si>
    <t>['Metro', 'HighSpeed Rail', 'Suburban Rail']</t>
  </si>
  <si>
    <t>מטרו, רכבת מהירה, רכבת פרברית</t>
  </si>
  <si>
    <t>["['Me1-2N', 'Me1-1N', 'Me1-1S', 'Me1-2S']", "['rail_10_1', 'rail_8_1', 'rail_14_1', 'rail_12_1', 'rail_11_2', 'rail_11_1', 'rail_9_1', 'rail_17_1', 'rail_16_2', 'rail_20_1', 'rail_9_2', 'rail_2_1', 'rail_14_2', 'rail_12_2', 'rail_16_1', 'rail_20_2', 'rail_17_2', 'rail_8_2', 'rail_2_2', 'rail_10_2']", "['Me02-W', 'Me02-E']"]</t>
  </si>
  <si>
    <t>צומת בילו-כפר סבא (דרך הוד השרון) (מטרו), צומת בילו-כפר סבא (דרך רעננה) (מטרו), כפר סבא-צומת בילו (דרך רעננה) (מטרו), כפר סבא-צומת בילו (דרך הוד השרון) (מטרו), בית שאן-הרצליה (רכבת פרברית), חיפה-ירושלים (רכבת מהירה), נתניה-ירושלים (רכבת פרברית), זיכרון יעקב-אשקלון (רכבת פרברית), שוקת-זיכרון יעקב (רכבת פרברית), זיכרון יעקב-שוקת (רכבת פרברית), חיפה-באר שבע (רכבת מהירה), ראש העין-באר שבע (רכבת פרברית), בית שמש-הרצליה (רכבת פרברית), מודיעין-באר שבע (רכבת פרברית), באר שבע-חיפה (רכבת מהירה), נהריה-אילת (רכבת מהירה), ירושלים-נתניה (רכבת פרברית), אשקלון-זיכרון יעקב (רכבת פרברית), הרצליה-בית שמש (רכבת פרברית), באר שבע-מודיעין (רכבת פרברית), באר שבע-ראש העין (רכבת פרברית), ירושלים-חיפה (רכבת מהירה), אילת-נהריה (רכבת מהירה), הרצליה-בית שאן (רכבת פרברית), סגולה-וולפסון (מטרו), וולפסון-סגולה (מטרו)</t>
  </si>
  <si>
    <t>תחנת רכבת השלום</t>
  </si>
  <si>
    <t>['8a2db0cdc967fff', '8a2db0cc3597fff', '8a2db0cdc977fff']</t>
  </si>
  <si>
    <t>[521021, 400110, 513014]</t>
  </si>
  <si>
    <t>["['Mgt2-W', 'Mgt2-E', 'Mgt1-E', 'Mgt3-E', 'Mgt3-W', 'Mgt1-W']", "['Me1-2N', 'Me1-1N', 'Me1-1S', 'Me1-2S']", "['rail_10_1', 'rail_5_1', 'rail_3_1', 'rail_3_2', 'rail_14_1', 'rail_12_1', 'rail_11_2', 'rail_4_1', 'rail_11_1', 'rail_4_2', 'rail_17_1', 'rail_16_2', 'rail_20_1', 'rail_1_2', 'rail_14_2', 'rail_12_2', 'rail_16_1', 'rail_20_2', 'rail_17_2', 'rail_1_1', 'rail_10_2', 'rail_5_2']"]</t>
  </si>
  <si>
    <t>סבידור-יהוד (רק"ל), יהוד-סבידור (רק"ל), בר אילן-סבידור (רק"ל), יהוד-אלנבי (רק"ל), אלנבי-יהוד (רק"ל), סבידור-בר אילן (רק"ל), צומת בילו-כפר סבא (דרך הוד השרון) (מטרו), צומת בילו-כפר סבא (דרך רעננה) (מטרו), כפר סבא-צומת בילו (דרך רעננה) (מטרו), כפר סבא-צומת בילו (דרך הוד השרון) (מטרו), בית שאן-הרצליה (רכבת פרברית), כרמיאל-אשקלון (רכבת בינעירונית), נהריה-באר שבע (רכבת בינעירונית), באר שבע-נהריה (רכבת בינעירונית), נתניה-ירושלים (רכבת פרברית), זיכרון יעקב-אשקלון (רכבת פרברית), שוקת-זיכרון יעקב (רכבת פרברית), עכו-באר שבע (רכבת בינעירונית), זיכרון יעקב-שוקת (רכבת פרברית), באר שבע-עכו (רכבת בינעירונית), ראש העין-באר שבע (רכבת פרברית), בית שמש-הרצליה (רכבת פרברית), מודיעין-באר שבע (רכבת פרברית), מודיעין-קרית שמונה (רכבת בינעירונית), ירושלים-נתניה (רכבת פרברית), אשקלון-זיכרון יעקב (רכבת פרברית), הרצליה-בית שמש (רכבת פרברית), באר שבע-מודיעין (רכבת פרברית), באר שבע-ראש העין (רכבת פרברית), קרית שמונה-מודיעין (רכבת בינעירונית), הרצליה-בית שאן (רכבת פרברית), אשקלון-כרמיאל (רכבת בינעירונית)</t>
  </si>
  <si>
    <t>תחנת רכבת תל אביב ההגנה</t>
  </si>
  <si>
    <t>['8a2db0cc889ffff', '8a2db0cc8127fff']</t>
  </si>
  <si>
    <t>[525234, 512005]</t>
  </si>
  <si>
    <t>["['Grn3-S', 'Grn1-S', 'Grn1-N']", "['Yelw-N', 'Yelw-S']"]</t>
  </si>
  <si>
    <t>אונ' ת"א-חולון (רק"ל), עתידים-ראשל"צ (רק"ל), ראשל"צ-עתידים (רק"ל), רצועת הנופש-צומת חולון (BRT), צומת חולון-רצועת הנופש (BRT)</t>
  </si>
  <si>
    <t>בכור שטרית/רוקח, תל אביב</t>
  </si>
  <si>
    <t>['8a2db0cca847fff', '8a2db0cc8497fff']</t>
  </si>
  <si>
    <t>[511009, 525244]</t>
  </si>
  <si>
    <t>["['Red-N', 'Shut-N', 'Red-S', 'Red2-N', 'Red2-S', 'Shut-S']", "['Yelw-N', 'Yelw-S']"]</t>
  </si>
  <si>
    <t>ראשל"צ-פ"ת (רק"ל), ת"א-פ"ת (רק"ל), פ"ת-ראשל"צ (רק"ל), ראשל"צ-פ"ת (קרית אריה) (רק"ל), פ"ת (קרית אריה)-ראשל"צ (רק"ל), פ"ת-ת"א (רק"ל), רצועת הנופש-צומת חולון (BRT), צומת חולון-רצועת הנופש (BRT)</t>
  </si>
  <si>
    <t>מרכז דן, בני ברק</t>
  </si>
  <si>
    <t>['8a2db0cc9497fff', '8a2db0cc949ffff']</t>
  </si>
  <si>
    <t>[523016, 512063]</t>
  </si>
  <si>
    <t>["['Me03-R', 'Me03-L']", "['Grn1-S', 'Grn1-N']"]</t>
  </si>
  <si>
    <t>בת ים-הרצליה (מטרו), הרצליה-בת ים (מטרו), עתידים-ראשל"צ (רק"ל), ראשל"צ-עתידים (רק"ל)</t>
  </si>
  <si>
    <t>הארד/ולנברג, תל אביב</t>
  </si>
  <si>
    <t>['8a2db0ccb6dffff', '8a2db0ccb6d7fff']</t>
  </si>
  <si>
    <t>[525573, 523022]</t>
  </si>
  <si>
    <t>['LRT', 'Metro', 'BRT']</t>
  </si>
  <si>
    <t>רק"ל, מטרו, BRT</t>
  </si>
  <si>
    <t>["['RH-RG2', 'RG-RH1', 'RH-RG1', 'RG-RH2']", "['East-N', 'East-S', 'Me03-L', 'Me03-R']"]</t>
  </si>
  <si>
    <t>ראש העין-רמת גן (BRT), כפר קאסם-ר"ג (BRT), ר"ג-כפר קאסם (BRT), ראש העין-רמת גן (BRT), צומת רעננה-צומת בילו (רק"ל), צומת בילו-צומת רעננה (רק"ל), הרצליה-בת ים (מטרו), בת ים-הרצליה (מטרו)</t>
  </si>
  <si>
    <t>גיסין/משה דיין, פתח תקווה</t>
  </si>
  <si>
    <t>['8a2db0ccc6f7fff', '8a2db0ccc6c7fff']</t>
  </si>
  <si>
    <t>[400070, 512006]</t>
  </si>
  <si>
    <t>["['rail_10_1', 'rail_5_1', 'rail_3_1', 'rail_3_2', 'rail_14_1', 'rail_12_1', 'rail_11_2', 'rail_4_1', 'rail_11_1', 'rail_4_2', 'rail_17_1', 'rail_16_2', 'rail_20_1', 'rail_1_2', 'rail_14_2', 'rail_12_2', 'rail_16_1', 'rail_20_2', 'rail_17_2', 'rail_1_1', 'rail_10_2', 'rail_5_2']", "['Grn3-N', 'Grn3-S', 'Grn1-S', 'Grn1-N']"]</t>
  </si>
  <si>
    <t>בית שאן-הרצליה (רכבת פרברית), כרמיאל-אשקלון (רכבת בינעירונית), נהריה-באר שבע (רכבת בינעירונית), באר שבע-נהריה (רכבת בינעירונית), נתניה-ירושלים (רכבת פרברית), זיכרון יעקב-אשקלון (רכבת פרברית), שוקת-זיכרון יעקב (רכבת פרברית), עכו-באר שבע (רכבת בינעירונית), זיכרון יעקב-שוקת (רכבת פרברית), באר שבע-עכו (רכבת בינעירונית), ראש העין-באר שבע (רכבת פרברית), בית שמש-הרצליה (רכבת פרברית), מודיעין-באר שבע (רכבת פרברית), מודיעין-קרית שמונה (רכבת בינעירונית), ירושלים-נתניה (רכבת פרברית), אשקלון-זיכרון יעקב (רכבת פרברית), הרצליה-בית שמש (רכבת פרברית), באר שבע-מודיעין (רכבת פרברית), באר שבע-ראש העין (רכבת פרברית), קרית שמונה-מודיעין (רכבת בינעירונית), הרצליה-בית שאן (רכבת פרברית), אשקלון-כרמיאל (רכבת בינעירונית), חולון-אונ' ת"א (רק"ל), אונ' ת"א-חולון (רק"ל), עתידים-ראשל"צ (רק"ל), ראשל"צ-עתידים (רק"ל)</t>
  </si>
  <si>
    <t>תחנת רכבת ת"א האוניברסיטה</t>
  </si>
  <si>
    <t>['8a2db0ccd16ffff', '8a2db0ccda17fff']</t>
  </si>
  <si>
    <t>[400018, 523019, 521063]</t>
  </si>
  <si>
    <t>['HighSpeed Rail', 'Interurban Rail', 'Suburban Rail', 'Metro']</t>
  </si>
  <si>
    <t>רכבת מהירה, רכבת בינעירונית, רכבת פרברית, מטרו</t>
  </si>
  <si>
    <t>["['rail_10_1', 'rail_5_1', 'rail_3_1', 'rail_8_1', 'rail_3_2', 'rail_14_1', 'rail_12_1', 'rail_11_2', 'rail_4_1', 'rail_11_1', 'rail_9_1', 'rail_4_2', 'rail_17_1', 'rail_16_2', 'rail_20_1', 'rail_9_2', 'rail_1_2', 'rail_2_1', 'rail_14_2', 'rail_12_2', 'rail_16_1', 'rail_20_2', 'rail_17_2', 'rail_1_1', 'rail_8_2', 'rail_2_2', 'rail_10_2', 'rail_5_2']", "['Me1-1S', 'Me03-R', 'Me03-L', 'Me1-2S', 'Me1-2N', 'Me1-1N']"]</t>
  </si>
  <si>
    <t>בית שאן-הרצליה (רכבת פרברית), כרמיאל-אשקלון (רכבת בינעירונית), נהריה-באר שבע (רכבת בינעירונית), חיפה-ירושלים (רכבת מהירה), באר שבע-נהריה (רכבת בינעירונית), נתניה-ירושלים (רכבת פרברית), זיכרון יעקב-אשקלון (רכבת פרברית), שוקת-זיכרון יעקב (רכבת פרברית), עכו-באר שבע (רכבת בינעירונית), זיכרון יעקב-שוקת (רכבת פרברית), חיפה-באר שבע (רכבת מהירה), באר שבע-עכו (רכבת בינעירונית), ראש העין-באר שבע (רכבת פרברית), בית שמש-הרצליה (רכבת פרברית), מודיעין-באר שבע (רכבת פרברית), באר שבע-חיפה (רכבת מהירה), מודיעין-קרית שמונה (רכבת בינעירונית), נהריה-אילת (רכבת מהירה), ירושלים-נתניה (רכבת פרברית), אשקלון-זיכרון יעקב (רכבת פרברית), הרצליה-בית שמש (רכבת פרברית), באר שבע-מודיעין (רכבת פרברית), באר שבע-ראש העין (רכבת פרברית), קרית שמונה-מודיעין (רכבת בינעירונית), ירושלים-חיפה (רכבת מהירה), אילת-נהריה (רכבת מהירה), הרצליה-בית שאן (רכבת פרברית), אשקלון-כרמיאל (רכבת בינעירונית), כפר סבא-צומת בילו (דרך רעננה) (מטרו), בת ים-הרצליה (מטרו), הרצליה-בת ים (מטרו), כפר סבא-צומת בילו (דרך הוד השרון) (מטרו), צומת בילו-כפר סבא (דרך הוד השרון) (מטרו), צומת בילו-כפר סבא (דרך רעננה) (מטרו)</t>
  </si>
  <si>
    <t>גלילות דרום</t>
  </si>
  <si>
    <t>['8a2db0ccec77fff', '8a2db0ccec0ffff', '8a2db0cceceffff', '8a2db0ccec5ffff']</t>
  </si>
  <si>
    <t>[400080, 513001, 521024, 511012]</t>
  </si>
  <si>
    <t>["['Me1-2N', 'Me1-1N', 'Me1-1S', 'Me1-2S']", "['Red-N', 'Shut-N', 'Red-S', 'Red2-N', 'Red2-S', 'Shut-S']", "['Mgt2-E', 'Mgt1-E']", "['rail_10_1', 'rail_5_1', 'rail_3_1', 'rail_3_2', 'rail_14_1', 'rail_12_1', 'rail_11_2', 'rail_4_1', 'rail_11_1', 'rail_4_2', 'rail_17_1', 'rail_16_2', 'rail_20_1', 'rail_1_2', 'rail_14_2', 'rail_12_2', 'rail_16_1', 'rail_20_2', 'rail_17_2', 'rail_1_1', 'rail_10_2', 'rail_5_2']"]</t>
  </si>
  <si>
    <t>צומת בילו-כפר סבא (דרך הוד השרון) (מטרו), צומת בילו-כפר סבא (דרך רעננה) (מטרו), כפר סבא-צומת בילו (דרך רעננה) (מטרו), כפר סבא-צומת בילו (דרך הוד השרון) (מטרו), ראשל"צ-פ"ת (רק"ל), ת"א-פ"ת (רק"ל), פ"ת-ראשל"צ (רק"ל), ראשל"צ-פ"ת (קרית אריה) (רק"ל), פ"ת (קרית אריה)-ראשל"צ (רק"ל), פ"ת-ת"א (רק"ל), יהוד-סבידור (רק"ל), בר אילן-סבידור (רק"ל), בית שאן-הרצליה (רכבת פרברית), כרמיאל-אשקלון (רכבת בינעירונית), נהריה-באר שבע (רכבת בינעירונית), באר שבע-נהריה (רכבת בינעירונית), נתניה-ירושלים (רכבת פרברית), זיכרון יעקב-אשקלון (רכבת פרברית), שוקת-זיכרון יעקב (רכבת פרברית), עכו-באר שבע (רכבת בינעירונית), זיכרון יעקב-שוקת (רכבת פרברית), באר שבע-עכו (רכבת בינעירונית), ראש העין-באר שבע (רכבת פרברית), בית שמש-הרצליה (רכבת פרברית), מודיעין-באר שבע (רכבת פרברית), מודיעין-קרית שמונה (רכבת בינעירונית), ירושלים-נתניה (רכבת פרברית), אשקלון-זיכרון יעקב (רכבת פרברית), הרצליה-בית שמש (רכבת פרברית), באר שבע-מודיעין (רכבת פרברית), באר שבע-ראש העין (רכבת פרברית), קרית שמונה-מודיעין (רכבת בינעירונית), הרצליה-בית שאן (רכבת פרברית), אשקלון-כרמיאל (רכבת בינעירונית)</t>
  </si>
  <si>
    <t>תחנת רכבת סבידור מרכז</t>
  </si>
  <si>
    <t>['8a2db0cd02c7fff', '8a2db0cd021ffff']</t>
  </si>
  <si>
    <t>[523003, 512030]</t>
  </si>
  <si>
    <t>["['Me03-R', 'Me03-L']", "['Grn3-N', 'Grn3-S', 'Grn1-S', 'Grn1-N']"]</t>
  </si>
  <si>
    <t>בת ים-הרצליה (מטרו), הרצליה-בת ים (מטרו), חולון-אונ' ת"א (רק"ל), אונ' ת"א-חולון (רק"ל), עתידים-ראשל"צ (רק"ל), ראשל"צ-עתידים (רק"ל)</t>
  </si>
  <si>
    <t>HIT חולון</t>
  </si>
  <si>
    <t>['8a2db0cd06e7fff']</t>
  </si>
  <si>
    <t>[512032, 521055]</t>
  </si>
  <si>
    <t>["['Grn3-N', 'Me1-1S', 'Grn1-N', 'Grn1-S', 'Grn3-S', 'Me1-2S', 'Me1-2N', 'Me1-1N']"]</t>
  </si>
  <si>
    <t>חולון-אונ' ת"א (רק"ל), כפר סבא-צומת בילו (דרך רעננה) (מטרו), ראשל"צ-עתידים (רק"ל), עתידים-ראשל"צ (רק"ל), אונ' ת"א-חולון (רק"ל), כפר סבא-צומת בילו (דרך הוד השרון) (מטרו), צומת בילו-כפר סבא (דרך הוד השרון) (מטרו), צומת בילו-כפר סבא (דרך רעננה) (מטרו)</t>
  </si>
  <si>
    <t>אהוד מנור/בגין, חולון</t>
  </si>
  <si>
    <t>['8a2db0cd0957fff', '8a2db0cd095ffff']</t>
  </si>
  <si>
    <t>[523001, 511029]</t>
  </si>
  <si>
    <t>["['Me03-R', 'Me03-L']", "['Red2-N', 'Red-N', 'Red2-S', 'Red-S']"]</t>
  </si>
  <si>
    <t>בת ים-הרצליה (מטרו), הרצליה-בת ים (מטרו), ראשל"צ-פ"ת (קרית אריה) (רק"ל), ראשל"צ-פ"ת (רק"ל), פ"ת (קרית אריה)-ראשל"צ (רק"ל), פ"ת-ראשל"צ (רק"ל)</t>
  </si>
  <si>
    <t>ניסנבאום/יוספטל, בת ים</t>
  </si>
  <si>
    <t>['8a2db0cd0b9ffff', '8a2db0cd0a97fff', '8a2db0cd0ab7fff']</t>
  </si>
  <si>
    <t>[521056, 523002, 400423]</t>
  </si>
  <si>
    <t>["['Me03-R', 'Me03-L']", "['rail_20_2', 'rail_11_2', 'rail_20_1', 'rail_11_1']", "['Me1-2N', 'Me1-1N', 'Me1-1S', 'Me1-2S']"]</t>
  </si>
  <si>
    <t>בת ים-הרצליה (מטרו), הרצליה-בת ים (מטרו), באר שבע-מודיעין (רכבת פרברית), שוקת-זיכרון יעקב (רכבת פרברית), מודיעין-באר שבע (רכבת פרברית), זיכרון יעקב-שוקת (רכבת פרברית), צומת בילו-כפר סבא (דרך הוד השרון) (מטרו), צומת בילו-כפר סבא (דרך רעננה) (מטרו), כפר סבא-צומת בילו (דרך רעננה) (מטרו), כפר סבא-צומת בילו (דרך הוד השרון) (מטרו)</t>
  </si>
  <si>
    <t>תחנת רכבת בת ים-יוספטל</t>
  </si>
  <si>
    <t>['8a2db0cd1b2ffff', '8a2db0cd1a27fff', '8a2db0cd1b07fff']</t>
  </si>
  <si>
    <t>[512026, 521060, 400421]</t>
  </si>
  <si>
    <t>['Metro', 'LRT', 'Suburban Rail']</t>
  </si>
  <si>
    <t>מטרו, רק"ל, רכבת פרברית</t>
  </si>
  <si>
    <t>["['rail_20_2', 'rail_11_2', 'rail_20_1', 'rail_11_1']", "['Me1-2N', 'Me1-1N', 'Me1-1S', 'Me1-2S']", "['Grn2-N', 'Grn3-N', 'Grn2-S', 'Grn1-N', 'Grn1-S', 'Grn3-S']"]</t>
  </si>
  <si>
    <t>באר שבע-מודיעין (רכבת פרברית), שוקת-זיכרון יעקב (רכבת פרברית), מודיעין-באר שבע (רכבת פרברית), זיכרון יעקב-שוקת (רכבת פרברית), צומת בילו-כפר סבא (דרך הוד השרון) (מטרו), צומת בילו-כפר סבא (דרך רעננה) (מטרו), כפר סבא-צומת בילו (דרך רעננה) (מטרו), כפר סבא-צומת בילו (דרך הוד השרון) (מטרו), חולון-הרצליה (רק"ל), חולון-אונ' ת"א (רק"ל), הרצליה-חולון (רק"ל), ראשל"צ-עתידים (רק"ל), עתידים-ראשל"צ (רק"ל), אונ' ת"א-חולון (רק"ל)</t>
  </si>
  <si>
    <t>תחנת רכבת צומת חולון</t>
  </si>
  <si>
    <t>['8a2db0cd3317fff', '8a2db0cd3307fff', '8a2db0cd3327fff']</t>
  </si>
  <si>
    <t>[525240, 512049, 523005]</t>
  </si>
  <si>
    <t>["['Me03-R', 'Me03-L']", "['Yelw-N', 'Yelw-S']", "['Grn2-N', 'Grn2-S']"]</t>
  </si>
  <si>
    <t>בת ים-הרצליה (מטרו), הרצליה-בת ים (מטרו), רצועת הנופש-צומת חולון (BRT), צומת חולון-רצועת הנופש (BRT), חולון-הרצליה (רק"ל), הרצליה-חולון (רק"ל)</t>
  </si>
  <si>
    <t>המלאכה/הרוקמים, חולון</t>
  </si>
  <si>
    <t>['8a2db0cd5237fff']</t>
  </si>
  <si>
    <t>[522025, 400422]</t>
  </si>
  <si>
    <t>['Suburban Rail', 'Metro']</t>
  </si>
  <si>
    <t>רכבת פרברית, מטרו</t>
  </si>
  <si>
    <t>["['Me02-E', 'rail_20_2', 'rail_20_1', 'Me02-W', 'rail_11_1', 'rail_11_2']"]</t>
  </si>
  <si>
    <t>וולפסון-סגולה (מטרו), באר שבע-מודיעין (רכבת פרברית), מודיעין-באר שבע (רכבת פרברית), סגולה-וולפסון (מטרו), זיכרון יעקב-שוקת (רכבת פרברית), שוקת-זיכרון יעקב (רכבת פרברית)</t>
  </si>
  <si>
    <t>תחנת רכבת חולון-וולפסון</t>
  </si>
  <si>
    <t>['8a2db0cd6667fff', '8a2db0cd6657fff', '8a2db0cd660ffff', '8a2db0cd66effff']</t>
  </si>
  <si>
    <t>[512038, 400424, 516009, 516008, 511037]</t>
  </si>
  <si>
    <t>['Suburban Rail', 'LRT', 'LRT']</t>
  </si>
  <si>
    <t>רכבת פרברית, רק"ל, רק"ל</t>
  </si>
  <si>
    <t>["['Grn1-N']", "['rail_20_2', 'ART1-1', 'rail_20_1', 'ART1-2', 'rail_11_1', 'ART2-1', 'rail_11_2', 'ART2-2']", "['ART1-1', 'ART2-1', 'ART2-2', 'ART1-2']", "['Red2-N', 'Red-N']"]</t>
  </si>
  <si>
    <t>ראשל"צ-עתידים (רק"ל), באר שבע-מודיעין (רכבת פרברית), מתחם ה-1000-אסף הרופא (רק"ל), מודיעין-באר שבע (רכבת פרברית), אסף הרופא-מתחם ה-1000 (רק"ל), זיכרון יעקב-שוקת (רכבת פרברית), חוף ראשל"צ-אסף הרופא (רק"ל), שוקת-זיכרון יעקב (רכבת פרברית), אסף הרופא-חוף ראשל"צ (רק"ל), ראשל"צ-פ"ת (קרית אריה) (רק"ל), ראשל"צ-פ"ת (רק"ל)</t>
  </si>
  <si>
    <t>תחנת רכבת משה דיין</t>
  </si>
  <si>
    <t>['8a2db0cdb447fff']</t>
  </si>
  <si>
    <t>[523010]</t>
  </si>
  <si>
    <t>צומת נווה סביון</t>
  </si>
  <si>
    <t>['8a2db0cdb85ffff']</t>
  </si>
  <si>
    <t>[523023]</t>
  </si>
  <si>
    <t>תל השומר, אונקולוגיה</t>
  </si>
  <si>
    <t>['8a2db2b21907fff', '8a2db2b2190ffff']</t>
  </si>
  <si>
    <t>[51152, 51232, 50111]</t>
  </si>
  <si>
    <t>["['LRT61', 'LRT71', 'LRT62', 'LRT72']", "['rail_13_1', 'rail_13_2', 'rail_14_1', 'rail_18_1', 'rail_14_2', 'rail_18_2']"]</t>
  </si>
  <si>
    <t>כחול כיוון 1 (רק"ל), תכלת כיוון 1 (רק"ל), כחול כיוון 2 (רק"ל), תכלת כיוון 2 (רק"ל), חריש-ירושלים (רכבת פרברית), ירושלים-חריש (רכבת פרברית), נתניה-ירושלים (רכבת פרברית), מודיעין-ירושלים (רכבת פרברית), ירושלים-נתניה (רכבת פרברית), ירושלים-מודיעין (רכבת פרברית)</t>
  </si>
  <si>
    <t>תחנת רכבת ירושלים-החאן</t>
  </si>
  <si>
    <t>['8a2db569a22ffff']</t>
  </si>
  <si>
    <t>[31624]</t>
  </si>
  <si>
    <t>["['rail_3_1', 'rail_3_2', 'rail_2_2', 'rail_2_1']"]</t>
  </si>
  <si>
    <t>נהריה-באר שבע (רכבת בינעירונית), באר שבע-נהריה (רכבת בינעירונית), אילת-נהריה (רכבת מהירה), נהריה-אילת (רכבת מהירה)</t>
  </si>
  <si>
    <t>תחנת רכבת נהריה</t>
  </si>
  <si>
    <t>['8a2db62602f7fff', '8a2db62602dffff', '8a2db62602e7fff']</t>
  </si>
  <si>
    <t>[511086, 525478, 512270]</t>
  </si>
  <si>
    <t>["['L2-S', 'L1-S', 'L1-N', 'L2-N']", "['RH-GY1']", "['RedN', 'RedS']"]</t>
  </si>
  <si>
    <t>יבנה-אשדוד (דרך הנמל) (רק"ל), רחובות-אשדוד (דרך הנמל) (רק"ל), אשדוד-רחובות (דרך הנמל) (רק"ל), אשדוד-יבנה (דרך הנמל) (רק"ל), רחובות-גן יבנה (דרך אשדוד) (BRT), אשקלון-אשדוד (אדום) (רק"ל), אשדוד-אשקלון (אדום) (רק"ל)</t>
  </si>
  <si>
    <t>היהלומים/הבנאים, אשדוד</t>
  </si>
  <si>
    <t>['8a2db62614effff', '8a2db626145ffff']</t>
  </si>
  <si>
    <t>[525481, 511046]</t>
  </si>
  <si>
    <t>["['L2-S', 'L1-S', 'L1-N', 'L2-N']", "['RH-GY1']"]</t>
  </si>
  <si>
    <t>יבנה-אשדוד (דרך הנמל) (רק"ל), רחובות-אשדוד (דרך הנמל) (רק"ל), אשדוד-רחובות (דרך הנמל) (רק"ל), אשדוד-יבנה (דרך הנמל) (רק"ל), רחובות-גן יבנה (דרך אשדוד) (BRT)</t>
  </si>
  <si>
    <t>צומת בני ברית</t>
  </si>
  <si>
    <t>['8a2db627112ffff', '8a2db6271127fff', '8a2db62718d7fff']</t>
  </si>
  <si>
    <t>[511050, 511059, 400380, 512134]</t>
  </si>
  <si>
    <t>['Interurban Rail', 'Suburban Rail', 'LRT', 'LRT']</t>
  </si>
  <si>
    <t>רכבת בינעירונית, רכבת פרברית, רק"ל, רק"ל</t>
  </si>
  <si>
    <t>["['L1-N']", "['RedN', 'Orange_N', 'Orange_S', 'RedS']", "['rail_12_2', 'rail_5_1', 'rail_20_1', 'rail_20_2', 'rail_19_2', 'rail_11_1', 'rail_12_1', 'L2-N', 'rail_11_2', 'rail_19_1', 'rail_5_2']"]</t>
  </si>
  <si>
    <t>אשדוד-רחובות (דרך הנמל) (רק"ל), אשקלון-אשדוד (אדום) (רק"ל), אשקלון-אשדוד (כתום) (רק"ל), אשדוד-אשקלון (כתום) (רק"ל), אשדוד-אשקלון (אדום) (רק"ל), אשקלון-זיכרון יעקב (רכבת פרברית), כרמיאל-אשקלון (רכבת בינעירונית), מודיעין-באר שבע (רכבת פרברית), באר שבע-מודיעין (רכבת פרברית), אשדוד-מודיעין (רכבת פרברית), זיכרון יעקב-שוקת (רכבת פרברית), זיכרון יעקב-אשקלון (רכבת פרברית), אשדוד-יבנה (דרך הנמל) (רק"ל), שוקת-זיכרון יעקב (רכבת פרברית), מודיעין-אשדוד (רכבת פרברית), אשקלון-כרמיאל (רכבת בינעירונית)</t>
  </si>
  <si>
    <t>תחנת רכבת אשדוד-עד הלום</t>
  </si>
  <si>
    <t>['8a2db664e2f7fff']</t>
  </si>
  <si>
    <t>[463793, 467925]</t>
  </si>
  <si>
    <t>['Interurban Rail', 'LRT']</t>
  </si>
  <si>
    <t>רכבת בינעירונית, רק"ל</t>
  </si>
  <si>
    <t>['[\'rail_21_1\', \'rail_4_1\', \'rail_3_1\', \'rail_3_2\', \'rail_21_2\', "4.4_Bee\'rSheva-Rahat_Main", "4.4_Rahat-Bee\'rSheva_Main", \'rail_4_2\']']</t>
  </si>
  <si>
    <t>באר שבע</t>
  </si>
  <si>
    <t>ירושלים-באר שבע (רכבת בינעירונית), עכו-באר שבע (רכבת בינעירונית), נהריה-באר שבע (רכבת בינעירונית), באר שבע-נהריה (רכבת בינעירונית), באר שבע-ירושלים (רכבת בינעירונית), 4.4_BeerSheva-Rahat_Main, 4.4_Rahat-BeerSheva_Main, באר שבע-עכו (רכבת בינעירונית)</t>
  </si>
  <si>
    <t>תחנת רכבת להבים-רהט</t>
  </si>
  <si>
    <t>['8a2db66e8177fff', '8a2db66e8157fff']</t>
  </si>
  <si>
    <t>[463640, 467197]</t>
  </si>
  <si>
    <t>["['4.2_LRT_BRS-Shoket', '4.1_Arad-BS', '4.2_LRT_Shoket-BRS', '4.1_BS-Arad']", "['rail_21_1', 'rail_4_1', 'rail_20_1', 'rail_9_2', 'rail_20_2', 'rail_3_1', 'rail_2_1', 'rail_3_2', 'rail_21_2', 'rail_17_2', 'rail_2_2', 'rail_9_1', 'rail_4_2', 'rail_17_1']"]</t>
  </si>
  <si>
    <t>צומת שוקת-מרכז רפואי באר שבע (רק"ל), ערד-באר שבע מערב (רק"ל), מרכז רפואי באר שבע-צומת שוקת (רק"ל), באר שבע מערב-ערד (רק"ל), ירושלים-באר שבע (רכבת בינעירונית), עכו-באר שבע (רכבת בינעירונית), מודיעין-באר שבע (רכבת פרברית), באר שבע-חיפה (רכבת מהירה), באר שבע-מודיעין (רכבת פרברית), נהריה-באר שבע (רכבת בינעירונית), נהריה-אילת (רכבת מהירה), באר שבע-נהריה (רכבת בינעירונית), באר שבע-ירושלים (רכבת בינעירונית), באר שבע-ראש העין (רכבת פרברית), אילת-נהריה (רכבת מהירה), חיפה-באר שבע (רכבת מהירה), באר שבע-עכו (רכבת בינעירונית), ראש העין-באר שבע (רכבת פרברית)</t>
  </si>
  <si>
    <t>תחנת רכבת באר שבע צפון-האוניברסיטה</t>
  </si>
  <si>
    <t>['8a2db66ee05ffff', '8a2db66ee077fff']</t>
  </si>
  <si>
    <t>[463642, 467211]</t>
  </si>
  <si>
    <t>["['4.3_Ofakim-TelSheva', '4.2_LRT_BRS-Shoket', '4.3_TelSheva-Ofakim', '4.2_LRT_Shoket-BRS']", "['rail_22_2', 'rail_21_1', 'rail_4_1', 'rail_23_2', 'rail_20_1', 'rail_20_2', 'rail_3_1', 'rail_17_2', 'rail_3_2', 'rail_21_2', 'rail_22_1', 'rail_23_1', 'rail_4_2', 'rail_17_1']"]</t>
  </si>
  <si>
    <t>אופקים-תל שבע (רק"ל), צומת שוקת-מרכז רפואי באר שבע (רק"ל), תל שבע-אופקים (רק"ל), מרכז רפואי באר שבע-צומת שוקת (רק"ל), ערד-באר שבע (רכבת פרברית), ירושלים-באר שבע (רכבת בינעירונית), עכו-באר שבע (רכבת בינעירונית), ירוחם-באר שבע (רכבת פרברית), מודיעין-באר שבע (רכבת פרברית), באר שבע-מודיעין (רכבת פרברית), נהריה-באר שבע (רכבת בינעירונית), באר שבע-ראש העין (רכבת פרברית), באר שבע-נהריה (רכבת בינעירונית), באר שבע-ירושלים (רכבת בינעירונית), באר שבע-ערד (רכבת פרברית), באר  שבע-ירוחם (רכבת פרברית), באר שבע-עכו (רכבת בינעירונית), ראש העין-באר שבע (רכבת פרברית)</t>
  </si>
  <si>
    <t>תחנת רכבת באר שבע מרכז</t>
  </si>
  <si>
    <t>['8a2db0118557fff', '8a2db0118037fff']</t>
  </si>
  <si>
    <t>[511128, 400020]</t>
  </si>
  <si>
    <t>["['LRT131', 'LRT132']", "['rail_4_2', 'rail_14_2', 'rail_12_1', 'rail_12_2', 'rail_11_1', 'rail_5_1', 'rail_5_2', 'rail_14_1', 'rail_1_1', 'rail_1_2', 'rail_3_1', 'rail_3_2', 'rail_11_2', 'rail_4_1']"]</t>
  </si>
  <si>
    <t>נתניה מזרח-הרצליה (רק"ל), הרצליה-נתניה מזרח (רק"ל), באר שבע-עכו (רכבת בינעירונית), ירושלים-נתניה (רכבת פרברית), זיכרון יעקב-אשקלון (רכבת פרברית), אשקלון-זיכרון יעקב (רכבת פרברית), זיכרון יעקב-שוקת (רכבת פרברית), כרמיאל-אשקלון (רכבת בינעירונית), אשקלון-כרמיאל (רכבת בינעירונית), נתניה-ירושלים (רכבת פרברית), קרית שמונה-מודיעין (רכבת בינעירונית), מודיעין-קרית שמונה (רכבת בינעירונית), נהריה-באר שבע (רכבת בינעירונית), באר שבע-נהריה (רכבת בינעירונית), שוקת-זיכרון יעקב (רכבת פרברית), עכו-באר שבע (רכבת בינעירונית)</t>
  </si>
  <si>
    <t>תחנת רכבת נתניה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</si>
</sst>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ktop/&#1514;&#1506;&#1491;&#1493;&#1507;%20&#1502;&#1514;&#1495;&#1502;&#1497;&#1501;%201-06-2026/hubs_final_results_20262505_1606.xlsm" TargetMode="External"/><Relationship Id="rId2" Type="http://schemas.openxmlformats.org/officeDocument/2006/relationships/externalLinkPath" Target="https://ayalonhw-my.sharepoint.com/personal/ohad_ayalonhw_co_il/Documents/Desktop/&#1514;&#1506;&#1491;&#1493;&#1507;%20&#1502;&#1514;&#1495;&#1502;&#1497;&#1501;%201-06-2026/hubs_final_results_20262505_1606.xlsm" TargetMode="External"/><Relationship Id="rId1" Type="http://schemas.openxmlformats.org/officeDocument/2006/relationships/externalLinkPath" Target="/personal/ohad_ayalonhw_co_il/Documents/Desktop/&#1514;&#1506;&#1491;&#1493;&#1507;%20&#1502;&#1514;&#1495;&#1502;&#1497;&#1501;%201-06-2026/hubs_final_results_20262505_160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ults"/>
      <sheetName val="דירוג"/>
      <sheetName val="Sheet1"/>
      <sheetName val="Hubs_Over_50k_Psngrs"/>
      <sheetName val="Charts"/>
      <sheetName val="Param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6F2211-F20C-4BDD-82A3-9E848F385996}" name="Results" displayName="Results" ref="A1:BK128" totalsRowShown="0">
  <autoFilter ref="A1:BK128" xr:uid="{00000000-0009-0000-0100-000001000000}"/>
  <tableColumns count="63">
    <tableColumn id="1" xr3:uid="{8106403C-215C-409F-BEAD-8E82A68FB852}" name="group"/>
    <tableColumn id="2" xr3:uid="{561CBDD6-750B-4B34-9478-EEE6D3CD8754}" name="x"/>
    <tableColumn id="3" xr3:uid="{169C7546-7C72-4887-921D-58ED8F32E5C5}" name="y"/>
    <tableColumn id="4" xr3:uid="{139F82EB-3DEF-41DE-9CAD-15E2C7881685}" name="h3_index"/>
    <tableColumn id="5" xr3:uid="{CB09945F-26DE-48DD-B139-E6D8D15679D0}" name="node"/>
    <tableColumn id="6" xr3:uid="{55AC265E-00BA-4BBC-95C9-70F25CEAA98D}" name="Mode_Planned"/>
    <tableColumn id="7" xr3:uid="{1838E504-2AE7-4B2B-BE02-F6D38709F056}" name="Modes_ForPlot"/>
    <tableColumn id="8" xr3:uid="{5387E112-FB88-4A0C-9AC8-16D94FAEA5E1}" name="Line_Unique"/>
    <tableColumn id="9" xr3:uid="{8BEDBCD8-89DA-45B6-B650-4B5F7B9EB090}" name="address"/>
    <tableColumn id="10" xr3:uid="{13053B3D-469B-4306-BECD-362F268A3BCB}" name="area"/>
    <tableColumn id="11" xr3:uid="{944C939C-A7B6-4837-B7AF-65EB6C9FC110}" name="Metro"/>
    <tableColumn id="12" xr3:uid="{C6F02BF9-3FA0-4CC3-9204-F74017F85ECD}" name="location"/>
    <tableColumn id="13" xr3:uid="{315468F8-E020-4FA0-A070-083D7F5F0A61}" name="LocationForChart"/>
    <tableColumn id="14" xr3:uid="{28087065-B1E6-4872-B395-BC2B1653E362}" name="TotalDemand"/>
    <tableColumn id="15" xr3:uid="{A0B9D3CD-161C-4FDF-9068-0B6DCC2C31A3}" name="TotalTransfers"/>
    <tableColumn id="16" xr3:uid="{01970FC8-2097-42C3-8911-BA8DC68EAA5B}" name="TransferRate"/>
    <tableColumn id="17" xr3:uid="{0C3E12E3-C8A4-4D84-9B98-B6AC8ABCCC91}" name="BRT Lines"/>
    <tableColumn id="18" xr3:uid="{4505E934-C6C5-46E4-98CD-29A3296776AE}" name="Cable Line Lines"/>
    <tableColumn id="19" xr3:uid="{4F1C4E79-1291-4F0E-8F40-8A596FA89B09}" name="Funicular Lines"/>
    <tableColumn id="20" xr3:uid="{2C6C1C0A-4196-47EF-B0C2-0F6BB6567813}" name="HighSpeed Rail Lines"/>
    <tableColumn id="21" xr3:uid="{B2543D55-FD1B-4FDA-8C57-87671668B437}" name="Interurban Rail Lines"/>
    <tableColumn id="22" xr3:uid="{D8F5550E-7435-42C9-9F51-A715C7AEFA41}" name="LRT Lines"/>
    <tableColumn id="23" xr3:uid="{09C6E23F-79F2-4867-9F76-B5D986C3BAF1}" name="Metro Lines"/>
    <tableColumn id="24" xr3:uid="{2088D326-0133-44D7-81AB-8F4839869F4D}" name="Suburban Rail Lines"/>
    <tableColumn id="25" xr3:uid="{15D48A50-CF32-46E6-93CF-0C6C1752E9A6}" name="pop_0_500"/>
    <tableColumn id="26" xr3:uid="{D04FE6A8-6A7D-4B57-A827-F8CD17BBB0D9}" name="emp_0_500"/>
    <tableColumn id="27" xr3:uid="{40D3A02A-E246-4030-BEED-6EABFB36FE79}" name="pop_500_1000"/>
    <tableColumn id="28" xr3:uid="{A5014939-4545-45BB-B709-539342E85A8F}" name="emp_500_1000"/>
    <tableColumn id="29" xr3:uid="{DD0DF251-3537-492D-8B0B-39517A456B0C}" name="pop_1000_1500"/>
    <tableColumn id="30" xr3:uid="{287DFEA2-C84D-43B3-8006-B7444D2A8E1B}" name="emp_1000_1500"/>
    <tableColumn id="31" xr3:uid="{8466FEBE-831C-4F59-AEBA-AA19EE686E14}" name="TotalPop_2050"/>
    <tableColumn id="32" xr3:uid="{6B6B7D61-4ADF-49F6-982F-BB9CCAAEE250}" name="TotalEmp_2050"/>
    <tableColumn id="33" xr3:uid="{238ECE37-8A47-46FA-A3E5-2E2E492C0D31}" name="Region_category"/>
    <tableColumn id="34" xr3:uid="{E52BD568-23E8-4B9E-8D57-75C805344D11}" name="Location_category"/>
    <tableColumn id="35" xr3:uid="{FAFF3607-1FA6-4982-85CA-5AC59779DAED}" name="RegionLocation"/>
    <tableColumn id="36" xr3:uid="{313F60F8-4BD6-4350-9794-0CF4CA4CF881}" name="Num_Modes"/>
    <tableColumn id="37" xr3:uid="{28613969-8690-4D4A-892B-572F69875574}" name="score"/>
    <tableColumn id="38" xr3:uid="{C300A95C-E455-4FBA-83EC-E3526142CF61}" name="bus_terminal"/>
    <tableColumn id="39" xr3:uid="{5669875F-B608-497A-85C7-F3D3B6545707}" name="HubType"/>
    <tableColumn id="40" xr3:uid="{CC06F10C-DB26-481B-A1D3-F3DCC55F6761}" name="HubType_Filtered"/>
    <tableColumn id="41" xr3:uid="{29ED7F97-2716-4106-9DB2-994178A289CB}" name="HubTypeHE"/>
    <tableColumn id="42" xr3:uid="{D3989A9D-4865-4917-B313-77AEACE9D72D}" name="BusTERMINAL_Clone"/>
    <tableColumn id="43" xr3:uid="{BF72B640-D5B9-4C39-AACE-18CA8BABB403}" name="RegionLocation_Norm"/>
    <tableColumn id="44" xr3:uid="{FF880F2F-2CFB-45D5-822B-084D22569CF7}" name="score_Norm"/>
    <tableColumn id="45" xr3:uid="{92568CFF-67F4-4266-A0EA-6BF8686A3273}" name="bus_terminal_Norm"/>
    <tableColumn id="46" xr3:uid="{ADFD2882-AD31-4358-824F-706782535014}" name="TotalDemand_Norm"/>
    <tableColumn id="47" xr3:uid="{D22EE22B-3469-4997-87F7-5BBFC7545151}" name="PopEmp_Score_Norm"/>
    <tableColumn id="48" xr3:uid="{3AF8A86B-7083-4BBF-9F98-228B0C52C199}" name="TotalScore_MC"/>
    <tableColumn id="49" xr3:uid="{C1A35C30-28E9-4BF7-9E48-34FE61DCDBB8}" name="Rank_TS_MC">
      <calculatedColumnFormula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calculatedColumnFormula>
    </tableColumn>
    <tableColumn id="50" xr3:uid="{E52BFDB8-CFA4-4900-9CEE-6A119E674FAE}" name="Rank_By_TS_MC_By_Metro">
      <calculatedColumnFormula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calculatedColumnFormula>
    </tableColumn>
    <tableColumn id="51" xr3:uid="{D6B55B53-D3EA-4D70-8AEA-2EA1F4BDAB60}" name="TotalNumLines"/>
    <tableColumn id="52" xr3:uid="{868B03B5-EF06-44C4-9486-23DEBD637C17}" name="Line_Nunique"/>
    <tableColumn id="53" xr3:uid="{CB54B9A4-FDE0-44BD-BC49-44C6F2B0FC3F}" name="Average_Simulated_Score"/>
    <tableColumn id="54" xr3:uid="{A3C7956E-64C1-4B7E-9362-FB89D1058693}" name="Overall_Rank"/>
    <tableColumn id="55" xr3:uid="{FFB0CA82-875F-438E-BEE0-82ABA8036325}" name="Rank_within_HubType"/>
    <tableColumn id="56" xr3:uid="{A34CC63D-EF84-4451-8B98-99FE43AC0696}" name="LogDemand"/>
    <tableColumn id="57" xr3:uid="{9B9ED140-4F03-4B7E-BF8D-CBF436D2C72B}" name="PopEmp_Score"/>
    <tableColumn id="58" xr3:uid="{92B97773-0814-4131-89D5-7EC30D1DF917}" name="LineNamesHE"/>
    <tableColumn id="59" xr3:uid="{D8068CAA-B9CE-4A5B-81ED-6BC1F446D64F}" name="HubNameHE"/>
    <tableColumn id="60" xr3:uid="{7BF91D89-4301-4A9C-BB9F-67B81639A939}" name="TotalScore_Manual" dataDxfId="3">
      <calculatedColumnFormula>SUMPRODUCT(Results[[#This Row],[RegionLocation_Norm]:[PopEmp_Score_Norm]],[1]דירוג!$C$4:$G$4)</calculatedColumnFormula>
    </tableColumn>
    <tableColumn id="61" xr3:uid="{D8A3E8F3-32D2-4D81-825F-EBC14F68D187}" name="Rank_TS_Manual" dataDxfId="2">
      <calculatedColumnFormula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calculatedColumnFormula>
    </tableColumn>
    <tableColumn id="62" xr3:uid="{DBB9E483-96B0-45F9-8F49-A3A3BFD74C74}" name="Rank_TS_Manual_By_Metro" dataDxfId="1">
      <calculatedColumnFormula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calculatedColumnFormula>
    </tableColumn>
    <tableColumn id="63" xr3:uid="{1D12B7AF-ECCF-454F-BF2B-1F14D576E2E7}" name="Rank_By_LogDemand" dataDxfId="0">
      <calculatedColumnFormula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D6798-B6A6-402F-928B-A1A8B0995A7A}">
  <dimension ref="A1:BK128"/>
  <sheetViews>
    <sheetView tabSelected="1" workbookViewId="0">
      <pane ySplit="1" topLeftCell="A2" activePane="bottomLeft" state="frozen"/>
      <selection pane="bottomLeft" activeCell="AT115" sqref="AT115"/>
    </sheetView>
  </sheetViews>
  <sheetFormatPr defaultRowHeight="14.25" x14ac:dyDescent="0.2"/>
  <cols>
    <col min="2" max="3" width="9.125" customWidth="1"/>
    <col min="4" max="4" width="11.25" customWidth="1"/>
    <col min="5" max="5" width="9.125" customWidth="1"/>
    <col min="6" max="7" width="16.75" customWidth="1"/>
    <col min="8" max="8" width="14.375" customWidth="1"/>
    <col min="9" max="9" width="10" customWidth="1"/>
    <col min="10" max="11" width="9.125" customWidth="1"/>
    <col min="12" max="12" width="10.25" customWidth="1"/>
    <col min="13" max="13" width="18.125" customWidth="1"/>
    <col min="14" max="14" width="15" customWidth="1"/>
    <col min="15" max="15" width="15.75" customWidth="1"/>
    <col min="16" max="16" width="14.375" customWidth="1"/>
    <col min="17" max="17" width="11.375" customWidth="1"/>
    <col min="18" max="18" width="17.25" customWidth="1"/>
    <col min="19" max="19" width="16.25" customWidth="1"/>
    <col min="20" max="20" width="21.375" customWidth="1"/>
    <col min="21" max="21" width="21.25" customWidth="1"/>
    <col min="22" max="22" width="11.125" customWidth="1"/>
    <col min="23" max="23" width="13.75" customWidth="1"/>
    <col min="24" max="24" width="20.25" customWidth="1"/>
    <col min="25" max="25" width="12.625" customWidth="1"/>
    <col min="26" max="26" width="13.125" customWidth="1"/>
    <col min="27" max="27" width="15.625" customWidth="1"/>
    <col min="28" max="28" width="16.125" customWidth="1"/>
    <col min="29" max="29" width="16.625" customWidth="1"/>
    <col min="30" max="30" width="17.125" customWidth="1"/>
    <col min="31" max="31" width="16" customWidth="1"/>
    <col min="32" max="32" width="16.375" customWidth="1"/>
    <col min="33" max="33" width="17.875" customWidth="1"/>
    <col min="34" max="34" width="19.125" customWidth="1"/>
    <col min="35" max="35" width="16.75" customWidth="1"/>
    <col min="36" max="36" width="14.625" customWidth="1"/>
    <col min="37" max="37" width="9.125" customWidth="1"/>
    <col min="38" max="38" width="14.875" customWidth="1"/>
    <col min="39" max="39" width="11" customWidth="1"/>
    <col min="40" max="40" width="19" customWidth="1"/>
    <col min="41" max="41" width="13.25" customWidth="1"/>
    <col min="42" max="42" width="21.625" customWidth="1"/>
    <col min="43" max="43" width="22.75" customWidth="1"/>
    <col min="44" max="44" width="13.875" customWidth="1"/>
    <col min="45" max="45" width="20.875" customWidth="1"/>
    <col min="46" max="46" width="21" customWidth="1"/>
    <col min="47" max="47" width="22.25" customWidth="1"/>
    <col min="48" max="48" width="16.375" customWidth="1"/>
    <col min="49" max="49" width="14.375" customWidth="1"/>
    <col min="50" max="50" width="27.25" customWidth="1"/>
    <col min="51" max="51" width="16.375" customWidth="1"/>
    <col min="52" max="52" width="15.625" customWidth="1"/>
    <col min="53" max="53" width="26.25" customWidth="1"/>
    <col min="54" max="54" width="14.875" customWidth="1"/>
    <col min="55" max="55" width="23" customWidth="1"/>
    <col min="56" max="56" width="13.625" customWidth="1"/>
    <col min="57" max="57" width="16.25" customWidth="1"/>
    <col min="58" max="58" width="15.25" customWidth="1"/>
    <col min="59" max="59" width="14.25" customWidth="1"/>
  </cols>
  <sheetData>
    <row r="1" spans="1:6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 x14ac:dyDescent="0.2">
      <c r="A2">
        <v>1</v>
      </c>
      <c r="B2">
        <v>34.986264484123403</v>
      </c>
      <c r="C2">
        <v>32.312690245683797</v>
      </c>
      <c r="D2" t="s">
        <v>63</v>
      </c>
      <c r="E2" t="s">
        <v>64</v>
      </c>
      <c r="F2" t="s">
        <v>65</v>
      </c>
      <c r="G2" t="s">
        <v>66</v>
      </c>
      <c r="H2" t="s">
        <v>67</v>
      </c>
      <c r="I2" t="s">
        <v>68</v>
      </c>
      <c r="J2" t="s">
        <v>69</v>
      </c>
      <c r="K2" t="s">
        <v>69</v>
      </c>
      <c r="L2" t="s">
        <v>70</v>
      </c>
      <c r="M2" t="s">
        <v>71</v>
      </c>
      <c r="N2">
        <v>2773.04</v>
      </c>
      <c r="O2">
        <v>1075.3499999999999</v>
      </c>
      <c r="P2">
        <v>0.38778741020684798</v>
      </c>
      <c r="Q2">
        <v>1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0</v>
      </c>
      <c r="Y2">
        <v>508.65597198252601</v>
      </c>
      <c r="Z2">
        <v>189.549818980841</v>
      </c>
      <c r="AA2">
        <v>1201.5489555818399</v>
      </c>
      <c r="AB2">
        <v>427.76147490096599</v>
      </c>
      <c r="AC2">
        <v>1389.7977608255001</v>
      </c>
      <c r="AD2">
        <v>433.06057865114201</v>
      </c>
      <c r="AE2">
        <v>3100.0026883898699</v>
      </c>
      <c r="AF2">
        <v>1050.37187253295</v>
      </c>
      <c r="AG2">
        <v>0</v>
      </c>
      <c r="AH2">
        <v>2</v>
      </c>
      <c r="AI2">
        <v>0</v>
      </c>
      <c r="AJ2">
        <v>2</v>
      </c>
      <c r="AK2">
        <v>9.9</v>
      </c>
      <c r="AL2">
        <v>0</v>
      </c>
      <c r="AM2" t="s">
        <v>72</v>
      </c>
      <c r="AN2" t="b">
        <v>0</v>
      </c>
      <c r="AO2" t="s">
        <v>72</v>
      </c>
      <c r="AP2">
        <v>0</v>
      </c>
      <c r="AQ2">
        <v>1</v>
      </c>
      <c r="AR2">
        <v>1</v>
      </c>
      <c r="AS2">
        <v>1</v>
      </c>
      <c r="AT2">
        <v>3.1113348510274501</v>
      </c>
      <c r="AU2">
        <v>1.03734387987375</v>
      </c>
      <c r="AV2">
        <v>2.3335392228628198</v>
      </c>
      <c r="AW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25</v>
      </c>
      <c r="AX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25</v>
      </c>
      <c r="AY2">
        <v>2</v>
      </c>
      <c r="AZ2">
        <v>2</v>
      </c>
      <c r="BA2">
        <v>2.3335392228628198</v>
      </c>
      <c r="BB2">
        <v>114</v>
      </c>
      <c r="BC2">
        <v>25</v>
      </c>
      <c r="BD2">
        <v>3.4429561341483499</v>
      </c>
      <c r="BE2">
        <v>1460.29803570433</v>
      </c>
      <c r="BF2" t="s">
        <v>73</v>
      </c>
      <c r="BG2" t="s">
        <v>74</v>
      </c>
      <c r="BH2">
        <f>SUMPRODUCT(Results[[#This Row],[RegionLocation_Norm]:[PopEmp_Score_Norm]],[1]דירוג!$C$4:$G$4)</f>
        <v>2.0124088580935724</v>
      </c>
      <c r="BI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23</v>
      </c>
      <c r="BJ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23</v>
      </c>
      <c r="BK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22</v>
      </c>
    </row>
    <row r="3" spans="1:63" x14ac:dyDescent="0.2">
      <c r="A3">
        <v>2</v>
      </c>
      <c r="B3">
        <v>35.002969699626597</v>
      </c>
      <c r="C3">
        <v>32.271786870442497</v>
      </c>
      <c r="D3" t="s">
        <v>75</v>
      </c>
      <c r="E3" t="s">
        <v>76</v>
      </c>
      <c r="F3" t="s">
        <v>65</v>
      </c>
      <c r="G3" t="s">
        <v>66</v>
      </c>
      <c r="H3" t="s">
        <v>67</v>
      </c>
      <c r="I3" t="s">
        <v>68</v>
      </c>
      <c r="J3" t="s">
        <v>69</v>
      </c>
      <c r="K3" t="s">
        <v>69</v>
      </c>
      <c r="L3" t="s">
        <v>70</v>
      </c>
      <c r="M3" t="s">
        <v>71</v>
      </c>
      <c r="N3">
        <v>4286.3899999999903</v>
      </c>
      <c r="O3">
        <v>30.050159499999999</v>
      </c>
      <c r="P3">
        <v>7.0105985456293003E-3</v>
      </c>
      <c r="Q3">
        <v>1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9971.8324777321595</v>
      </c>
      <c r="Z3">
        <v>2077.9706057910198</v>
      </c>
      <c r="AA3">
        <v>14341.022636317701</v>
      </c>
      <c r="AB3">
        <v>3066.9104279442599</v>
      </c>
      <c r="AC3">
        <v>7413.4938057400504</v>
      </c>
      <c r="AD3">
        <v>1730.9469067703601</v>
      </c>
      <c r="AE3">
        <v>31726.3489197899</v>
      </c>
      <c r="AF3">
        <v>6875.8279405056601</v>
      </c>
      <c r="AG3">
        <v>0</v>
      </c>
      <c r="AH3">
        <v>2</v>
      </c>
      <c r="AI3">
        <v>0</v>
      </c>
      <c r="AJ3">
        <v>2</v>
      </c>
      <c r="AK3">
        <v>9.9</v>
      </c>
      <c r="AL3">
        <v>0</v>
      </c>
      <c r="AM3" t="s">
        <v>72</v>
      </c>
      <c r="AN3" t="b">
        <v>0</v>
      </c>
      <c r="AO3" t="s">
        <v>72</v>
      </c>
      <c r="AP3">
        <v>0</v>
      </c>
      <c r="AQ3">
        <v>1</v>
      </c>
      <c r="AR3">
        <v>1</v>
      </c>
      <c r="AS3">
        <v>1</v>
      </c>
      <c r="AT3">
        <v>4.2688498506888601</v>
      </c>
      <c r="AU3">
        <v>1.53693743349482</v>
      </c>
      <c r="AV3">
        <v>3.93142061183134</v>
      </c>
      <c r="AW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11</v>
      </c>
      <c r="AX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11</v>
      </c>
      <c r="AY3">
        <v>2</v>
      </c>
      <c r="AZ3">
        <v>2</v>
      </c>
      <c r="BA3">
        <v>3.93142061183134</v>
      </c>
      <c r="BB3">
        <v>45</v>
      </c>
      <c r="BC3">
        <v>11</v>
      </c>
      <c r="BD3">
        <v>3.6320916830712702</v>
      </c>
      <c r="BE3">
        <v>11845.9321363625</v>
      </c>
      <c r="BF3" t="s">
        <v>73</v>
      </c>
      <c r="BG3" t="s">
        <v>77</v>
      </c>
      <c r="BH3">
        <f>SUMPRODUCT(Results[[#This Row],[RegionLocation_Norm]:[PopEmp_Score_Norm]],[1]דירוג!$C$4:$G$4)</f>
        <v>2.635144531885055</v>
      </c>
      <c r="BI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15</v>
      </c>
      <c r="BJ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15</v>
      </c>
      <c r="BK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12</v>
      </c>
    </row>
    <row r="4" spans="1:63" x14ac:dyDescent="0.2">
      <c r="A4">
        <v>3</v>
      </c>
      <c r="B4">
        <v>34.998462229508299</v>
      </c>
      <c r="C4">
        <v>32.261408673612003</v>
      </c>
      <c r="D4" t="s">
        <v>78</v>
      </c>
      <c r="E4" t="s">
        <v>79</v>
      </c>
      <c r="F4" t="s">
        <v>65</v>
      </c>
      <c r="G4" t="s">
        <v>66</v>
      </c>
      <c r="H4" t="s">
        <v>67</v>
      </c>
      <c r="I4" t="s">
        <v>68</v>
      </c>
      <c r="J4" t="s">
        <v>69</v>
      </c>
      <c r="K4" t="s">
        <v>69</v>
      </c>
      <c r="L4" t="s">
        <v>70</v>
      </c>
      <c r="M4" t="s">
        <v>71</v>
      </c>
      <c r="N4">
        <v>3693.98</v>
      </c>
      <c r="O4">
        <v>1182.5999999999999</v>
      </c>
      <c r="P4">
        <v>0.320142502125079</v>
      </c>
      <c r="Q4">
        <v>1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0</v>
      </c>
      <c r="Y4">
        <v>7485.3568624781801</v>
      </c>
      <c r="Z4">
        <v>1906.7027692546201</v>
      </c>
      <c r="AA4">
        <v>10487.4609270663</v>
      </c>
      <c r="AB4">
        <v>2812.8688283319502</v>
      </c>
      <c r="AC4">
        <v>6004.0587108171603</v>
      </c>
      <c r="AD4">
        <v>1655.0470493133801</v>
      </c>
      <c r="AE4">
        <v>23976.876500361701</v>
      </c>
      <c r="AF4">
        <v>6374.6186468999604</v>
      </c>
      <c r="AG4">
        <v>0</v>
      </c>
      <c r="AH4">
        <v>2</v>
      </c>
      <c r="AI4">
        <v>0</v>
      </c>
      <c r="AJ4">
        <v>2</v>
      </c>
      <c r="AK4">
        <v>9.9</v>
      </c>
      <c r="AL4">
        <v>0</v>
      </c>
      <c r="AM4" t="s">
        <v>72</v>
      </c>
      <c r="AN4" t="b">
        <v>0</v>
      </c>
      <c r="AO4" t="s">
        <v>72</v>
      </c>
      <c r="AP4">
        <v>0</v>
      </c>
      <c r="AQ4">
        <v>1</v>
      </c>
      <c r="AR4">
        <v>1</v>
      </c>
      <c r="AS4">
        <v>1</v>
      </c>
      <c r="AT4">
        <v>3.8735134754870599</v>
      </c>
      <c r="AU4">
        <v>1.4430926061904701</v>
      </c>
      <c r="AV4">
        <v>3.4981905762171399</v>
      </c>
      <c r="AW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14</v>
      </c>
      <c r="AX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14</v>
      </c>
      <c r="AY4">
        <v>2</v>
      </c>
      <c r="AZ4">
        <v>2</v>
      </c>
      <c r="BA4">
        <v>3.4981905762171399</v>
      </c>
      <c r="BB4">
        <v>57</v>
      </c>
      <c r="BC4">
        <v>14</v>
      </c>
      <c r="BD4">
        <v>3.5674945397471101</v>
      </c>
      <c r="BE4">
        <v>9895.0702175923107</v>
      </c>
      <c r="BF4" t="s">
        <v>73</v>
      </c>
      <c r="BG4" t="s">
        <v>80</v>
      </c>
      <c r="BH4">
        <f>SUMPRODUCT(Results[[#This Row],[RegionLocation_Norm]:[PopEmp_Score_Norm]],[1]דירוג!$C$4:$G$4)</f>
        <v>2.4331293135432901</v>
      </c>
      <c r="BI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18</v>
      </c>
      <c r="BJ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18</v>
      </c>
      <c r="BK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16</v>
      </c>
    </row>
    <row r="5" spans="1:63" x14ac:dyDescent="0.2">
      <c r="A5">
        <v>4</v>
      </c>
      <c r="B5">
        <v>34.992374788963197</v>
      </c>
      <c r="C5">
        <v>32.276514679206201</v>
      </c>
      <c r="D5" t="s">
        <v>81</v>
      </c>
      <c r="E5" t="s">
        <v>82</v>
      </c>
      <c r="F5" t="s">
        <v>65</v>
      </c>
      <c r="G5" t="s">
        <v>66</v>
      </c>
      <c r="H5" t="s">
        <v>67</v>
      </c>
      <c r="I5" t="s">
        <v>68</v>
      </c>
      <c r="J5" t="s">
        <v>69</v>
      </c>
      <c r="K5" t="s">
        <v>69</v>
      </c>
      <c r="L5" t="s">
        <v>70</v>
      </c>
      <c r="M5" t="s">
        <v>71</v>
      </c>
      <c r="N5">
        <v>2929.26</v>
      </c>
      <c r="O5">
        <v>1617.85</v>
      </c>
      <c r="P5">
        <v>0.55230672593078101</v>
      </c>
      <c r="Q5">
        <v>1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802.59286785159998</v>
      </c>
      <c r="Z5">
        <v>258.63418979105899</v>
      </c>
      <c r="AA5">
        <v>6601.0371825415205</v>
      </c>
      <c r="AB5">
        <v>1634.05435256898</v>
      </c>
      <c r="AC5">
        <v>5546.95032308384</v>
      </c>
      <c r="AD5">
        <v>1490.3411454203999</v>
      </c>
      <c r="AE5">
        <v>12950.5803734769</v>
      </c>
      <c r="AF5">
        <v>3383.0296877804499</v>
      </c>
      <c r="AG5">
        <v>0</v>
      </c>
      <c r="AH5">
        <v>2</v>
      </c>
      <c r="AI5">
        <v>0</v>
      </c>
      <c r="AJ5">
        <v>2</v>
      </c>
      <c r="AK5">
        <v>9.9</v>
      </c>
      <c r="AL5">
        <v>0</v>
      </c>
      <c r="AM5" t="s">
        <v>72</v>
      </c>
      <c r="AN5" t="b">
        <v>0</v>
      </c>
      <c r="AO5" t="s">
        <v>72</v>
      </c>
      <c r="AP5">
        <v>0</v>
      </c>
      <c r="AQ5">
        <v>1</v>
      </c>
      <c r="AR5">
        <v>1</v>
      </c>
      <c r="AS5">
        <v>1</v>
      </c>
      <c r="AT5">
        <v>3.2570024724432201</v>
      </c>
      <c r="AU5">
        <v>1.22188356704628</v>
      </c>
      <c r="AV5">
        <v>2.54998300790009</v>
      </c>
      <c r="AW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23</v>
      </c>
      <c r="AX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23</v>
      </c>
      <c r="AY5">
        <v>2</v>
      </c>
      <c r="AZ5">
        <v>2</v>
      </c>
      <c r="BA5">
        <v>2.54998300790009</v>
      </c>
      <c r="BB5">
        <v>104</v>
      </c>
      <c r="BC5">
        <v>23</v>
      </c>
      <c r="BD5">
        <v>3.4667579212049602</v>
      </c>
      <c r="BE5">
        <v>5296.5398249197497</v>
      </c>
      <c r="BF5" t="s">
        <v>73</v>
      </c>
      <c r="BG5" t="s">
        <v>83</v>
      </c>
      <c r="BH5">
        <f>SUMPRODUCT(Results[[#This Row],[RegionLocation_Norm]:[PopEmp_Score_Norm]],[1]דירוג!$C$4:$G$4)</f>
        <v>2.1076889976472919</v>
      </c>
      <c r="BI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21</v>
      </c>
      <c r="BJ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21</v>
      </c>
      <c r="BK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21</v>
      </c>
    </row>
    <row r="6" spans="1:63" x14ac:dyDescent="0.2">
      <c r="A6">
        <v>6</v>
      </c>
      <c r="B6">
        <v>34.981699063194299</v>
      </c>
      <c r="C6">
        <v>32.282516058942697</v>
      </c>
      <c r="D6" t="s">
        <v>84</v>
      </c>
      <c r="E6" t="s">
        <v>85</v>
      </c>
      <c r="F6" t="s">
        <v>65</v>
      </c>
      <c r="G6" t="s">
        <v>66</v>
      </c>
      <c r="H6" t="s">
        <v>67</v>
      </c>
      <c r="I6" t="s">
        <v>68</v>
      </c>
      <c r="J6" t="s">
        <v>69</v>
      </c>
      <c r="K6" t="s">
        <v>69</v>
      </c>
      <c r="L6" t="s">
        <v>70</v>
      </c>
      <c r="M6" t="s">
        <v>71</v>
      </c>
      <c r="N6">
        <v>5042.16</v>
      </c>
      <c r="O6">
        <v>10.300146</v>
      </c>
      <c r="P6">
        <v>2.0428042743586001E-3</v>
      </c>
      <c r="Q6">
        <v>1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0</v>
      </c>
      <c r="Y6">
        <v>3937.5776712953798</v>
      </c>
      <c r="Z6">
        <v>1052.5048999962801</v>
      </c>
      <c r="AA6">
        <v>5100.1871140551702</v>
      </c>
      <c r="AB6">
        <v>1397.2949595922501</v>
      </c>
      <c r="AC6">
        <v>2917.2393167025102</v>
      </c>
      <c r="AD6">
        <v>858.03859876517595</v>
      </c>
      <c r="AE6">
        <v>11955.004102053001</v>
      </c>
      <c r="AF6">
        <v>3307.8384583537099</v>
      </c>
      <c r="AG6">
        <v>0</v>
      </c>
      <c r="AH6">
        <v>2</v>
      </c>
      <c r="AI6">
        <v>0</v>
      </c>
      <c r="AJ6">
        <v>2</v>
      </c>
      <c r="AK6">
        <v>9.9</v>
      </c>
      <c r="AL6">
        <v>0</v>
      </c>
      <c r="AM6" t="s">
        <v>72</v>
      </c>
      <c r="AN6" t="b">
        <v>0</v>
      </c>
      <c r="AO6" t="s">
        <v>72</v>
      </c>
      <c r="AP6">
        <v>0</v>
      </c>
      <c r="AQ6">
        <v>1</v>
      </c>
      <c r="AR6">
        <v>1</v>
      </c>
      <c r="AS6">
        <v>1</v>
      </c>
      <c r="AT6">
        <v>4.70046451026555</v>
      </c>
      <c r="AU6">
        <v>1.20941165257084</v>
      </c>
      <c r="AV6">
        <v>3.1275241057000098</v>
      </c>
      <c r="AW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19</v>
      </c>
      <c r="AX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19</v>
      </c>
      <c r="AY6">
        <v>2</v>
      </c>
      <c r="AZ6">
        <v>2</v>
      </c>
      <c r="BA6">
        <v>3.1275241057000098</v>
      </c>
      <c r="BB6">
        <v>77</v>
      </c>
      <c r="BC6">
        <v>19</v>
      </c>
      <c r="BD6">
        <v>3.7026166227792601</v>
      </c>
      <c r="BE6">
        <v>5037.2715870935799</v>
      </c>
      <c r="BF6" t="s">
        <v>73</v>
      </c>
      <c r="BG6" t="s">
        <v>86</v>
      </c>
      <c r="BH6">
        <f>SUMPRODUCT(Results[[#This Row],[RegionLocation_Norm]:[PopEmp_Score_Norm]],[1]דירוג!$C$4:$G$4)</f>
        <v>2.7959302556142793</v>
      </c>
      <c r="BI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12</v>
      </c>
      <c r="BJ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12</v>
      </c>
      <c r="BK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10</v>
      </c>
    </row>
    <row r="7" spans="1:63" x14ac:dyDescent="0.2">
      <c r="A7">
        <v>9</v>
      </c>
      <c r="B7">
        <v>34.964212276113599</v>
      </c>
      <c r="C7">
        <v>32.315090065588002</v>
      </c>
      <c r="D7" t="s">
        <v>87</v>
      </c>
      <c r="E7" t="s">
        <v>88</v>
      </c>
      <c r="F7" t="s">
        <v>65</v>
      </c>
      <c r="G7" t="s">
        <v>66</v>
      </c>
      <c r="H7" t="s">
        <v>67</v>
      </c>
      <c r="I7" t="s">
        <v>68</v>
      </c>
      <c r="J7" t="s">
        <v>69</v>
      </c>
      <c r="K7" t="s">
        <v>69</v>
      </c>
      <c r="L7" t="s">
        <v>70</v>
      </c>
      <c r="M7" t="s">
        <v>71</v>
      </c>
      <c r="N7">
        <v>2409.87</v>
      </c>
      <c r="O7" s="1">
        <v>9.9500000000000006E-5</v>
      </c>
      <c r="P7" s="1">
        <v>4.1288534236286601E-8</v>
      </c>
      <c r="Q7">
        <v>1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434.02008636065</v>
      </c>
      <c r="Z7">
        <v>176.22284528204401</v>
      </c>
      <c r="AA7">
        <v>1039.2961226349801</v>
      </c>
      <c r="AB7">
        <v>403.24410060422099</v>
      </c>
      <c r="AC7">
        <v>1290.86830360769</v>
      </c>
      <c r="AD7">
        <v>473.62890073634799</v>
      </c>
      <c r="AE7">
        <v>2764.1845126033299</v>
      </c>
      <c r="AF7">
        <v>1053.09584662261</v>
      </c>
      <c r="AG7">
        <v>0</v>
      </c>
      <c r="AH7">
        <v>2</v>
      </c>
      <c r="AI7">
        <v>0</v>
      </c>
      <c r="AJ7">
        <v>2</v>
      </c>
      <c r="AK7">
        <v>9.9</v>
      </c>
      <c r="AL7">
        <v>0</v>
      </c>
      <c r="AM7" t="s">
        <v>72</v>
      </c>
      <c r="AN7" t="b">
        <v>0</v>
      </c>
      <c r="AO7" t="s">
        <v>72</v>
      </c>
      <c r="AP7">
        <v>0</v>
      </c>
      <c r="AQ7">
        <v>1</v>
      </c>
      <c r="AR7">
        <v>1</v>
      </c>
      <c r="AS7">
        <v>1</v>
      </c>
      <c r="AT7">
        <v>2.7382424819776801</v>
      </c>
      <c r="AU7">
        <v>1.0342178487685401</v>
      </c>
      <c r="AV7">
        <v>2.2467028484796798</v>
      </c>
      <c r="AW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26</v>
      </c>
      <c r="AX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26</v>
      </c>
      <c r="AY7">
        <v>2</v>
      </c>
      <c r="AZ7">
        <v>2</v>
      </c>
      <c r="BA7">
        <v>2.2467028484796798</v>
      </c>
      <c r="BB7">
        <v>119</v>
      </c>
      <c r="BC7">
        <v>26</v>
      </c>
      <c r="BD7">
        <v>3.3819936152697001</v>
      </c>
      <c r="BE7">
        <v>1395.31357981875</v>
      </c>
      <c r="BF7" t="s">
        <v>73</v>
      </c>
      <c r="BG7" t="s">
        <v>89</v>
      </c>
      <c r="BH7">
        <f>SUMPRODUCT(Results[[#This Row],[RegionLocation_Norm]:[PopEmp_Score_Norm]],[1]דירוג!$C$4:$G$4)</f>
        <v>1.833636187364158</v>
      </c>
      <c r="BI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25</v>
      </c>
      <c r="BJ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25</v>
      </c>
      <c r="BK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23</v>
      </c>
    </row>
    <row r="8" spans="1:63" x14ac:dyDescent="0.2">
      <c r="A8">
        <v>10</v>
      </c>
      <c r="B8">
        <v>34.938099444583401</v>
      </c>
      <c r="C8">
        <v>32.320532298844697</v>
      </c>
      <c r="D8" t="s">
        <v>90</v>
      </c>
      <c r="E8" t="s">
        <v>91</v>
      </c>
      <c r="F8" t="s">
        <v>65</v>
      </c>
      <c r="G8" t="s">
        <v>66</v>
      </c>
      <c r="H8" t="s">
        <v>67</v>
      </c>
      <c r="I8" t="s">
        <v>68</v>
      </c>
      <c r="J8" t="s">
        <v>69</v>
      </c>
      <c r="K8" t="s">
        <v>69</v>
      </c>
      <c r="L8" t="s">
        <v>70</v>
      </c>
      <c r="M8" t="s">
        <v>71</v>
      </c>
      <c r="N8">
        <v>9170.82</v>
      </c>
      <c r="O8">
        <v>4.7199999999999998E-4</v>
      </c>
      <c r="P8" s="1">
        <v>5.1467589593951202E-8</v>
      </c>
      <c r="Q8">
        <v>1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4528.3521898874997</v>
      </c>
      <c r="Z8">
        <v>2030.1434543985599</v>
      </c>
      <c r="AA8">
        <v>6870.3072462980899</v>
      </c>
      <c r="AB8">
        <v>2978.1126138129198</v>
      </c>
      <c r="AC8">
        <v>4539.4543396500603</v>
      </c>
      <c r="AD8">
        <v>1963.2620114295401</v>
      </c>
      <c r="AE8">
        <v>15938.1137758356</v>
      </c>
      <c r="AF8">
        <v>6971.5180796410305</v>
      </c>
      <c r="AG8">
        <v>0</v>
      </c>
      <c r="AH8">
        <v>2</v>
      </c>
      <c r="AI8">
        <v>0</v>
      </c>
      <c r="AJ8">
        <v>2</v>
      </c>
      <c r="AK8">
        <v>9.9</v>
      </c>
      <c r="AL8">
        <v>0</v>
      </c>
      <c r="AM8" t="s">
        <v>72</v>
      </c>
      <c r="AN8" t="b">
        <v>0</v>
      </c>
      <c r="AO8" t="s">
        <v>72</v>
      </c>
      <c r="AP8">
        <v>0</v>
      </c>
      <c r="AQ8">
        <v>1</v>
      </c>
      <c r="AR8">
        <v>1</v>
      </c>
      <c r="AS8">
        <v>1</v>
      </c>
      <c r="AT8">
        <v>6.2903962483377898</v>
      </c>
      <c r="AU8">
        <v>1.3887235503606801</v>
      </c>
      <c r="AV8">
        <v>3.5928649284601901</v>
      </c>
      <c r="AW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12</v>
      </c>
      <c r="AX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12</v>
      </c>
      <c r="AY8">
        <v>2</v>
      </c>
      <c r="AZ8">
        <v>2</v>
      </c>
      <c r="BA8">
        <v>3.5928649284601901</v>
      </c>
      <c r="BB8">
        <v>52</v>
      </c>
      <c r="BC8">
        <v>12</v>
      </c>
      <c r="BD8">
        <v>3.9624081694272202</v>
      </c>
      <c r="BE8">
        <v>8764.8372188799494</v>
      </c>
      <c r="BF8" t="s">
        <v>73</v>
      </c>
      <c r="BG8" t="s">
        <v>92</v>
      </c>
      <c r="BH8">
        <f>SUMPRODUCT(Results[[#This Row],[RegionLocation_Norm]:[PopEmp_Score_Norm]],[1]דירוג!$C$4:$G$4)</f>
        <v>3.5808419802055984</v>
      </c>
      <c r="BI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7</v>
      </c>
      <c r="BJ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7</v>
      </c>
      <c r="BK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7</v>
      </c>
    </row>
    <row r="9" spans="1:63" x14ac:dyDescent="0.2">
      <c r="A9">
        <v>12</v>
      </c>
      <c r="B9">
        <v>34.927732419695303</v>
      </c>
      <c r="C9">
        <v>32.321433605659003</v>
      </c>
      <c r="D9" t="s">
        <v>93</v>
      </c>
      <c r="E9" t="s">
        <v>94</v>
      </c>
      <c r="F9" t="s">
        <v>65</v>
      </c>
      <c r="G9" t="s">
        <v>66</v>
      </c>
      <c r="H9" t="s">
        <v>67</v>
      </c>
      <c r="I9" t="s">
        <v>68</v>
      </c>
      <c r="J9" t="s">
        <v>69</v>
      </c>
      <c r="K9" t="s">
        <v>69</v>
      </c>
      <c r="L9" t="s">
        <v>70</v>
      </c>
      <c r="M9" t="s">
        <v>71</v>
      </c>
      <c r="N9">
        <v>13907.1</v>
      </c>
      <c r="O9">
        <v>2464.34</v>
      </c>
      <c r="P9">
        <v>0.17720013518274799</v>
      </c>
      <c r="Q9">
        <v>1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5547.5310843954103</v>
      </c>
      <c r="Z9">
        <v>2533.0087729563402</v>
      </c>
      <c r="AA9">
        <v>8695.1631027690692</v>
      </c>
      <c r="AB9">
        <v>3827.1370987294399</v>
      </c>
      <c r="AC9">
        <v>5680.2459185736197</v>
      </c>
      <c r="AD9">
        <v>2458.7420193860999</v>
      </c>
      <c r="AE9">
        <v>19922.9401057381</v>
      </c>
      <c r="AF9">
        <v>8818.8878910718904</v>
      </c>
      <c r="AG9">
        <v>0</v>
      </c>
      <c r="AH9">
        <v>2</v>
      </c>
      <c r="AI9">
        <v>0</v>
      </c>
      <c r="AJ9">
        <v>2</v>
      </c>
      <c r="AK9">
        <v>9.9</v>
      </c>
      <c r="AL9">
        <v>0</v>
      </c>
      <c r="AM9" t="s">
        <v>72</v>
      </c>
      <c r="AN9" t="b">
        <v>0</v>
      </c>
      <c r="AO9" t="s">
        <v>72</v>
      </c>
      <c r="AP9">
        <v>0</v>
      </c>
      <c r="AQ9">
        <v>1</v>
      </c>
      <c r="AR9">
        <v>1</v>
      </c>
      <c r="AS9">
        <v>1</v>
      </c>
      <c r="AT9">
        <v>7.3970713069905099</v>
      </c>
      <c r="AU9">
        <v>1.4981541289353399</v>
      </c>
      <c r="AV9">
        <v>3.9853588743450699</v>
      </c>
      <c r="AW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10</v>
      </c>
      <c r="AX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10</v>
      </c>
      <c r="AY9">
        <v>2</v>
      </c>
      <c r="AZ9">
        <v>2</v>
      </c>
      <c r="BA9">
        <v>3.9853588743450699</v>
      </c>
      <c r="BB9">
        <v>42</v>
      </c>
      <c r="BC9">
        <v>10</v>
      </c>
      <c r="BD9">
        <v>4.1432365774900104</v>
      </c>
      <c r="BE9">
        <v>11039.698334005099</v>
      </c>
      <c r="BF9" t="s">
        <v>73</v>
      </c>
      <c r="BG9" t="s">
        <v>95</v>
      </c>
      <c r="BH9">
        <f>SUMPRODUCT(Results[[#This Row],[RegionLocation_Norm]:[PopEmp_Score_Norm]],[1]דירוג!$C$4:$G$4)</f>
        <v>4.1250435086634765</v>
      </c>
      <c r="BI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</v>
      </c>
      <c r="BJ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</v>
      </c>
      <c r="BK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</v>
      </c>
    </row>
    <row r="10" spans="1:63" x14ac:dyDescent="0.2">
      <c r="A10">
        <v>14</v>
      </c>
      <c r="B10">
        <v>35.033777861203497</v>
      </c>
      <c r="C10">
        <v>32.471721227462801</v>
      </c>
      <c r="D10" t="s">
        <v>96</v>
      </c>
      <c r="E10" t="s">
        <v>97</v>
      </c>
      <c r="F10" t="s">
        <v>98</v>
      </c>
      <c r="G10" t="s">
        <v>99</v>
      </c>
      <c r="H10" t="s">
        <v>100</v>
      </c>
      <c r="I10" t="s">
        <v>68</v>
      </c>
      <c r="J10" t="s">
        <v>101</v>
      </c>
      <c r="K10" t="s">
        <v>101</v>
      </c>
      <c r="L10" t="s">
        <v>102</v>
      </c>
      <c r="M10" t="s">
        <v>103</v>
      </c>
      <c r="N10">
        <v>47764.797955499998</v>
      </c>
      <c r="O10">
        <v>7532.6143579999998</v>
      </c>
      <c r="P10">
        <v>0.15770221335423101</v>
      </c>
      <c r="Q10">
        <v>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2</v>
      </c>
      <c r="Y10">
        <v>725.91983723768703</v>
      </c>
      <c r="Z10">
        <v>209.448084486916</v>
      </c>
      <c r="AA10">
        <v>3737.9241307213601</v>
      </c>
      <c r="AB10">
        <v>850.55000831496898</v>
      </c>
      <c r="AC10">
        <v>2676.4447238063499</v>
      </c>
      <c r="AD10">
        <v>616.33296574821804</v>
      </c>
      <c r="AE10">
        <v>7140.2886917653996</v>
      </c>
      <c r="AF10">
        <v>1676.3310585500999</v>
      </c>
      <c r="AG10">
        <v>1</v>
      </c>
      <c r="AH10">
        <v>1</v>
      </c>
      <c r="AI10">
        <v>1</v>
      </c>
      <c r="AJ10">
        <v>2</v>
      </c>
      <c r="AK10">
        <v>22</v>
      </c>
      <c r="AL10">
        <v>0</v>
      </c>
      <c r="AM10" t="s">
        <v>104</v>
      </c>
      <c r="AN10" t="b">
        <v>0</v>
      </c>
      <c r="AO10" t="s">
        <v>104</v>
      </c>
      <c r="AP10">
        <v>0</v>
      </c>
      <c r="AQ10">
        <v>4</v>
      </c>
      <c r="AR10">
        <v>1.37332876242715</v>
      </c>
      <c r="AS10">
        <v>1</v>
      </c>
      <c r="AT10">
        <v>5.9181383505735896</v>
      </c>
      <c r="AU10">
        <v>1.1003039554366101</v>
      </c>
      <c r="AV10">
        <v>2.63552287844588</v>
      </c>
      <c r="AW1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42</v>
      </c>
      <c r="AX1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7</v>
      </c>
      <c r="AY10">
        <v>4</v>
      </c>
      <c r="AZ10">
        <v>4</v>
      </c>
      <c r="BA10">
        <v>2.63552287844588</v>
      </c>
      <c r="BB10">
        <v>101</v>
      </c>
      <c r="BC10">
        <v>44</v>
      </c>
      <c r="BD10">
        <v>4.6791079450254101</v>
      </c>
      <c r="BE10">
        <v>2769.1225851931599</v>
      </c>
      <c r="BF10" t="s">
        <v>105</v>
      </c>
      <c r="BG10" t="s">
        <v>106</v>
      </c>
      <c r="BH10">
        <f>SUMPRODUCT(Results[[#This Row],[RegionLocation_Norm]:[PopEmp_Score_Norm]],[1]דירוג!$C$4:$G$4)</f>
        <v>3.6139844759976225</v>
      </c>
      <c r="BI1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35</v>
      </c>
      <c r="BJ1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5</v>
      </c>
      <c r="BK1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25</v>
      </c>
    </row>
    <row r="11" spans="1:63" x14ac:dyDescent="0.2">
      <c r="A11">
        <v>22</v>
      </c>
      <c r="B11">
        <v>34.984786477377398</v>
      </c>
      <c r="C11">
        <v>32.2328188761159</v>
      </c>
      <c r="D11" t="s">
        <v>107</v>
      </c>
      <c r="E11" t="s">
        <v>108</v>
      </c>
      <c r="F11" t="s">
        <v>65</v>
      </c>
      <c r="G11" t="s">
        <v>66</v>
      </c>
      <c r="H11" t="s">
        <v>67</v>
      </c>
      <c r="I11" t="s">
        <v>68</v>
      </c>
      <c r="J11" t="s">
        <v>69</v>
      </c>
      <c r="K11" t="s">
        <v>69</v>
      </c>
      <c r="L11" t="s">
        <v>70</v>
      </c>
      <c r="M11" t="s">
        <v>71</v>
      </c>
      <c r="N11">
        <v>4005</v>
      </c>
      <c r="O11">
        <v>3594.47</v>
      </c>
      <c r="P11">
        <v>0.89749563046192204</v>
      </c>
      <c r="Q11">
        <v>1</v>
      </c>
      <c r="R11">
        <v>0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1797.73716059087</v>
      </c>
      <c r="Z11">
        <v>517.86296629438596</v>
      </c>
      <c r="AA11">
        <v>3492.3567065094599</v>
      </c>
      <c r="AB11">
        <v>815.48345233711905</v>
      </c>
      <c r="AC11">
        <v>2334.0091387903099</v>
      </c>
      <c r="AD11">
        <v>528.38435459021696</v>
      </c>
      <c r="AE11">
        <v>7624.1030058906499</v>
      </c>
      <c r="AF11">
        <v>1861.73077322172</v>
      </c>
      <c r="AG11">
        <v>0</v>
      </c>
      <c r="AH11">
        <v>2</v>
      </c>
      <c r="AI11">
        <v>0</v>
      </c>
      <c r="AJ11">
        <v>2</v>
      </c>
      <c r="AK11">
        <v>9.9</v>
      </c>
      <c r="AL11">
        <v>0</v>
      </c>
      <c r="AM11" t="s">
        <v>72</v>
      </c>
      <c r="AN11" t="b">
        <v>0</v>
      </c>
      <c r="AO11" t="s">
        <v>72</v>
      </c>
      <c r="AP11">
        <v>0</v>
      </c>
      <c r="AQ11">
        <v>1</v>
      </c>
      <c r="AR11">
        <v>1</v>
      </c>
      <c r="AS11">
        <v>1</v>
      </c>
      <c r="AT11">
        <v>4.0883753270448802</v>
      </c>
      <c r="AU11">
        <v>1.11209348154018</v>
      </c>
      <c r="AV11">
        <v>2.7278815526705502</v>
      </c>
      <c r="AW1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22</v>
      </c>
      <c r="AX1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22</v>
      </c>
      <c r="AY11">
        <v>2</v>
      </c>
      <c r="AZ11">
        <v>2</v>
      </c>
      <c r="BA11">
        <v>2.7278815526705502</v>
      </c>
      <c r="BB11">
        <v>95</v>
      </c>
      <c r="BC11">
        <v>22</v>
      </c>
      <c r="BD11">
        <v>3.6026025204202501</v>
      </c>
      <c r="BE11">
        <v>3014.2052197554999</v>
      </c>
      <c r="BF11" t="s">
        <v>73</v>
      </c>
      <c r="BG11" t="s">
        <v>109</v>
      </c>
      <c r="BH11">
        <f>SUMPRODUCT(Results[[#This Row],[RegionLocation_Norm]:[PopEmp_Score_Norm]],[1]דירוג!$C$4:$G$4)</f>
        <v>2.4898244002615377</v>
      </c>
      <c r="BI1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17</v>
      </c>
      <c r="BJ1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17</v>
      </c>
      <c r="BK1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15</v>
      </c>
    </row>
    <row r="12" spans="1:63" x14ac:dyDescent="0.2">
      <c r="A12">
        <v>23</v>
      </c>
      <c r="B12">
        <v>34.989449741251804</v>
      </c>
      <c r="C12">
        <v>32.240650327156501</v>
      </c>
      <c r="D12" t="s">
        <v>110</v>
      </c>
      <c r="E12" t="s">
        <v>111</v>
      </c>
      <c r="F12" t="s">
        <v>65</v>
      </c>
      <c r="G12" t="s">
        <v>66</v>
      </c>
      <c r="H12" t="s">
        <v>67</v>
      </c>
      <c r="I12" t="s">
        <v>68</v>
      </c>
      <c r="J12" t="s">
        <v>69</v>
      </c>
      <c r="K12" t="s">
        <v>69</v>
      </c>
      <c r="L12" t="s">
        <v>70</v>
      </c>
      <c r="M12" t="s">
        <v>71</v>
      </c>
      <c r="N12">
        <v>1616.77</v>
      </c>
      <c r="O12">
        <v>1.306235</v>
      </c>
      <c r="P12">
        <v>8.0792877156305397E-4</v>
      </c>
      <c r="Q12">
        <v>1</v>
      </c>
      <c r="R12">
        <v>0</v>
      </c>
      <c r="S12">
        <v>0</v>
      </c>
      <c r="T12">
        <v>0</v>
      </c>
      <c r="U12">
        <v>0</v>
      </c>
      <c r="V12">
        <v>1</v>
      </c>
      <c r="W12">
        <v>0</v>
      </c>
      <c r="X12">
        <v>0</v>
      </c>
      <c r="Y12">
        <v>2978.9959235881201</v>
      </c>
      <c r="Z12">
        <v>699.01488781390503</v>
      </c>
      <c r="AA12">
        <v>4707.6441735457001</v>
      </c>
      <c r="AB12">
        <v>1389.7343399561601</v>
      </c>
      <c r="AC12">
        <v>2954.2443540520999</v>
      </c>
      <c r="AD12">
        <v>868.45943350115601</v>
      </c>
      <c r="AE12">
        <v>10640.884451185901</v>
      </c>
      <c r="AF12">
        <v>2957.2086612712201</v>
      </c>
      <c r="AG12">
        <v>0</v>
      </c>
      <c r="AH12">
        <v>2</v>
      </c>
      <c r="AI12">
        <v>0</v>
      </c>
      <c r="AJ12">
        <v>2</v>
      </c>
      <c r="AK12">
        <v>9.9</v>
      </c>
      <c r="AL12">
        <v>0</v>
      </c>
      <c r="AM12" t="s">
        <v>72</v>
      </c>
      <c r="AN12" t="b">
        <v>0</v>
      </c>
      <c r="AO12" t="s">
        <v>72</v>
      </c>
      <c r="AP12">
        <v>0</v>
      </c>
      <c r="AQ12">
        <v>1</v>
      </c>
      <c r="AR12">
        <v>1</v>
      </c>
      <c r="AS12">
        <v>1</v>
      </c>
      <c r="AT12">
        <v>1.6773638116473299</v>
      </c>
      <c r="AU12">
        <v>1.1832752561134701</v>
      </c>
      <c r="AV12">
        <v>2.40722117692698</v>
      </c>
      <c r="AW1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24</v>
      </c>
      <c r="AX1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24</v>
      </c>
      <c r="AY12">
        <v>2</v>
      </c>
      <c r="AZ12">
        <v>2</v>
      </c>
      <c r="BA12">
        <v>2.40722117692698</v>
      </c>
      <c r="BB12">
        <v>109</v>
      </c>
      <c r="BC12">
        <v>24</v>
      </c>
      <c r="BD12">
        <v>3.2086482420242302</v>
      </c>
      <c r="BE12">
        <v>4493.9438192541602</v>
      </c>
      <c r="BF12" t="s">
        <v>73</v>
      </c>
      <c r="BG12" t="s">
        <v>112</v>
      </c>
      <c r="BH12">
        <f>SUMPRODUCT(Results[[#This Row],[RegionLocation_Norm]:[PopEmp_Score_Norm]],[1]דירוג!$C$4:$G$4)</f>
        <v>1.347255162567196</v>
      </c>
      <c r="BI1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26</v>
      </c>
      <c r="BJ1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26</v>
      </c>
      <c r="BK1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26</v>
      </c>
    </row>
    <row r="13" spans="1:63" x14ac:dyDescent="0.2">
      <c r="A13">
        <v>27</v>
      </c>
      <c r="B13">
        <v>34.870964563861897</v>
      </c>
      <c r="C13">
        <v>32.312015333680897</v>
      </c>
      <c r="D13" t="s">
        <v>113</v>
      </c>
      <c r="E13" t="s">
        <v>114</v>
      </c>
      <c r="F13" t="s">
        <v>65</v>
      </c>
      <c r="G13" t="s">
        <v>66</v>
      </c>
      <c r="H13" t="s">
        <v>67</v>
      </c>
      <c r="I13" t="s">
        <v>68</v>
      </c>
      <c r="J13" t="s">
        <v>69</v>
      </c>
      <c r="K13" t="s">
        <v>69</v>
      </c>
      <c r="L13" t="s">
        <v>70</v>
      </c>
      <c r="M13" t="s">
        <v>71</v>
      </c>
      <c r="N13">
        <v>11034.85</v>
      </c>
      <c r="O13">
        <v>9791.1499999999905</v>
      </c>
      <c r="P13">
        <v>0.887293438515249</v>
      </c>
      <c r="Q13">
        <v>2</v>
      </c>
      <c r="R13">
        <v>0</v>
      </c>
      <c r="S13">
        <v>0</v>
      </c>
      <c r="T13">
        <v>0</v>
      </c>
      <c r="U13">
        <v>0</v>
      </c>
      <c r="V13">
        <v>2</v>
      </c>
      <c r="W13">
        <v>0</v>
      </c>
      <c r="X13">
        <v>0</v>
      </c>
      <c r="Y13">
        <v>4948.6049286170301</v>
      </c>
      <c r="Z13">
        <v>7002.8753149108597</v>
      </c>
      <c r="AA13">
        <v>16939.692691262699</v>
      </c>
      <c r="AB13">
        <v>10516.0178831825</v>
      </c>
      <c r="AC13">
        <v>12758.148880737501</v>
      </c>
      <c r="AD13">
        <v>6626.4623936988801</v>
      </c>
      <c r="AE13">
        <v>34646.446500617203</v>
      </c>
      <c r="AF13">
        <v>24145.355591792199</v>
      </c>
      <c r="AG13">
        <v>0</v>
      </c>
      <c r="AH13">
        <v>2</v>
      </c>
      <c r="AI13">
        <v>0</v>
      </c>
      <c r="AJ13">
        <v>2</v>
      </c>
      <c r="AK13">
        <v>19.8</v>
      </c>
      <c r="AL13">
        <v>0</v>
      </c>
      <c r="AM13" t="s">
        <v>72</v>
      </c>
      <c r="AN13" t="b">
        <v>0</v>
      </c>
      <c r="AO13" t="s">
        <v>72</v>
      </c>
      <c r="AP13">
        <v>0</v>
      </c>
      <c r="AQ13">
        <v>1</v>
      </c>
      <c r="AR13">
        <v>1.3054508056222101</v>
      </c>
      <c r="AS13">
        <v>1</v>
      </c>
      <c r="AT13">
        <v>6.7821911391977601</v>
      </c>
      <c r="AU13">
        <v>2.22962196933267</v>
      </c>
      <c r="AV13">
        <v>5.0840693455077002</v>
      </c>
      <c r="AW1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</v>
      </c>
      <c r="AX1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5</v>
      </c>
      <c r="AY13">
        <v>4</v>
      </c>
      <c r="AZ13">
        <v>4</v>
      </c>
      <c r="BA13">
        <v>5.0840693455077002</v>
      </c>
      <c r="BB13">
        <v>21</v>
      </c>
      <c r="BC13">
        <v>5</v>
      </c>
      <c r="BD13">
        <v>4.04276643404366</v>
      </c>
      <c r="BE13">
        <v>26245.5737735572</v>
      </c>
      <c r="BF13" t="s">
        <v>73</v>
      </c>
      <c r="BG13" t="s">
        <v>115</v>
      </c>
      <c r="BH13">
        <f>SUMPRODUCT(Results[[#This Row],[RegionLocation_Norm]:[PopEmp_Score_Norm]],[1]דירוג!$C$4:$G$4)</f>
        <v>4.0155819865973896</v>
      </c>
      <c r="BI1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6</v>
      </c>
      <c r="BJ1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6</v>
      </c>
      <c r="BK1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6</v>
      </c>
    </row>
    <row r="14" spans="1:63" x14ac:dyDescent="0.2">
      <c r="A14">
        <v>29</v>
      </c>
      <c r="B14">
        <v>34.882049547142898</v>
      </c>
      <c r="C14">
        <v>32.323599424974901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68</v>
      </c>
      <c r="J14" t="s">
        <v>69</v>
      </c>
      <c r="K14" t="s">
        <v>69</v>
      </c>
      <c r="L14" t="s">
        <v>70</v>
      </c>
      <c r="M14" t="s">
        <v>71</v>
      </c>
      <c r="N14">
        <v>31779.31</v>
      </c>
      <c r="O14">
        <v>25651.5</v>
      </c>
      <c r="P14">
        <v>0.80717611552925395</v>
      </c>
      <c r="Q14">
        <v>4</v>
      </c>
      <c r="R14">
        <v>0</v>
      </c>
      <c r="S14">
        <v>0</v>
      </c>
      <c r="T14">
        <v>0</v>
      </c>
      <c r="U14">
        <v>0</v>
      </c>
      <c r="V14">
        <v>6</v>
      </c>
      <c r="W14">
        <v>0</v>
      </c>
      <c r="X14">
        <v>0</v>
      </c>
      <c r="Y14">
        <v>2951.1317283027101</v>
      </c>
      <c r="Z14">
        <v>3084.0025911702801</v>
      </c>
      <c r="AA14">
        <v>5551.1473563536201</v>
      </c>
      <c r="AB14">
        <v>5543.8234574778699</v>
      </c>
      <c r="AC14">
        <v>3506.6427436006402</v>
      </c>
      <c r="AD14">
        <v>3380.6514941846799</v>
      </c>
      <c r="AE14">
        <v>12008.9218282569</v>
      </c>
      <c r="AF14">
        <v>12008.477542832799</v>
      </c>
      <c r="AG14">
        <v>0</v>
      </c>
      <c r="AH14">
        <v>2</v>
      </c>
      <c r="AI14">
        <v>0</v>
      </c>
      <c r="AJ14">
        <v>2</v>
      </c>
      <c r="AK14">
        <v>50.6</v>
      </c>
      <c r="AL14">
        <v>0</v>
      </c>
      <c r="AM14" t="s">
        <v>121</v>
      </c>
      <c r="AN14" t="b">
        <v>0</v>
      </c>
      <c r="AO14" t="s">
        <v>121</v>
      </c>
      <c r="AP14">
        <v>0</v>
      </c>
      <c r="AQ14">
        <v>1</v>
      </c>
      <c r="AR14">
        <v>2.2557422008913202</v>
      </c>
      <c r="AS14">
        <v>1</v>
      </c>
      <c r="AT14">
        <v>7.8896552015077797</v>
      </c>
      <c r="AU14">
        <v>1.54477366247821</v>
      </c>
      <c r="AV14">
        <v>2.8471303149323699</v>
      </c>
      <c r="AW1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19</v>
      </c>
      <c r="AX1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9</v>
      </c>
      <c r="AY14">
        <v>10</v>
      </c>
      <c r="AZ14">
        <v>10</v>
      </c>
      <c r="BA14">
        <v>2.8471303149323699</v>
      </c>
      <c r="BB14">
        <v>90</v>
      </c>
      <c r="BC14">
        <v>19</v>
      </c>
      <c r="BD14">
        <v>4.5021444634677801</v>
      </c>
      <c r="BE14">
        <v>12008.8329711721</v>
      </c>
      <c r="BF14" t="s">
        <v>122</v>
      </c>
      <c r="BG14" t="s">
        <v>123</v>
      </c>
      <c r="BH14">
        <f>SUMPRODUCT(Results[[#This Row],[RegionLocation_Norm]:[PopEmp_Score_Norm]],[1]דירוג!$C$4:$G$4)</f>
        <v>4.7072848618467376</v>
      </c>
      <c r="BI1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7</v>
      </c>
      <c r="BJ1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5</v>
      </c>
      <c r="BK1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</v>
      </c>
    </row>
    <row r="15" spans="1:63" x14ac:dyDescent="0.2">
      <c r="A15">
        <v>30</v>
      </c>
      <c r="B15">
        <v>34.874881614635498</v>
      </c>
      <c r="C15">
        <v>32.3214204732529</v>
      </c>
      <c r="D15" t="s">
        <v>124</v>
      </c>
      <c r="E15" t="s">
        <v>125</v>
      </c>
      <c r="F15" t="s">
        <v>65</v>
      </c>
      <c r="G15" t="s">
        <v>66</v>
      </c>
      <c r="H15" t="s">
        <v>67</v>
      </c>
      <c r="I15" t="s">
        <v>68</v>
      </c>
      <c r="J15" t="s">
        <v>69</v>
      </c>
      <c r="K15" t="s">
        <v>69</v>
      </c>
      <c r="L15" t="s">
        <v>70</v>
      </c>
      <c r="M15" t="s">
        <v>71</v>
      </c>
      <c r="N15">
        <v>4073.1</v>
      </c>
      <c r="O15">
        <v>0.28263059999999901</v>
      </c>
      <c r="P15" s="1">
        <v>6.9389555866538897E-5</v>
      </c>
      <c r="Q15">
        <v>1</v>
      </c>
      <c r="R15">
        <v>0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1219.0041613436999</v>
      </c>
      <c r="Z15">
        <v>6939.9333116102598</v>
      </c>
      <c r="AA15">
        <v>7241.0204211155096</v>
      </c>
      <c r="AB15">
        <v>8536.8435706159798</v>
      </c>
      <c r="AC15">
        <v>8925.1187158046305</v>
      </c>
      <c r="AD15">
        <v>4728.3506271402603</v>
      </c>
      <c r="AE15">
        <v>17385.1432982638</v>
      </c>
      <c r="AF15">
        <v>20205.127509366499</v>
      </c>
      <c r="AG15">
        <v>0</v>
      </c>
      <c r="AH15">
        <v>2</v>
      </c>
      <c r="AI15">
        <v>0</v>
      </c>
      <c r="AJ15">
        <v>2</v>
      </c>
      <c r="AK15">
        <v>9.9</v>
      </c>
      <c r="AL15">
        <v>0</v>
      </c>
      <c r="AM15" t="s">
        <v>72</v>
      </c>
      <c r="AN15" t="b">
        <v>0</v>
      </c>
      <c r="AO15" t="s">
        <v>72</v>
      </c>
      <c r="AP15">
        <v>0</v>
      </c>
      <c r="AQ15">
        <v>1</v>
      </c>
      <c r="AR15">
        <v>1</v>
      </c>
      <c r="AS15">
        <v>1</v>
      </c>
      <c r="AT15">
        <v>4.1331895577537701</v>
      </c>
      <c r="AU15">
        <v>1.9119199234834801</v>
      </c>
      <c r="AV15">
        <v>3.0279555898540802</v>
      </c>
      <c r="AW1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20</v>
      </c>
      <c r="AX1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20</v>
      </c>
      <c r="AY15">
        <v>2</v>
      </c>
      <c r="AZ15">
        <v>2</v>
      </c>
      <c r="BA15">
        <v>3.0279555898540802</v>
      </c>
      <c r="BB15">
        <v>81</v>
      </c>
      <c r="BC15">
        <v>20</v>
      </c>
      <c r="BD15">
        <v>3.6099250727216599</v>
      </c>
      <c r="BE15">
        <v>19641.130667145899</v>
      </c>
      <c r="BF15" t="s">
        <v>73</v>
      </c>
      <c r="BG15" t="s">
        <v>126</v>
      </c>
      <c r="BH15">
        <f>SUMPRODUCT(Results[[#This Row],[RegionLocation_Norm]:[PopEmp_Score_Norm]],[1]דירוג!$C$4:$G$4)</f>
        <v>2.622421477970506</v>
      </c>
      <c r="BI1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16</v>
      </c>
      <c r="BJ1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16</v>
      </c>
      <c r="BK1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13</v>
      </c>
    </row>
    <row r="16" spans="1:63" x14ac:dyDescent="0.2">
      <c r="A16">
        <v>31</v>
      </c>
      <c r="B16">
        <v>34.875966340717802</v>
      </c>
      <c r="C16">
        <v>32.3246537409727</v>
      </c>
      <c r="D16" t="s">
        <v>127</v>
      </c>
      <c r="E16" t="s">
        <v>128</v>
      </c>
      <c r="F16" t="s">
        <v>65</v>
      </c>
      <c r="G16" t="s">
        <v>66</v>
      </c>
      <c r="H16" t="s">
        <v>129</v>
      </c>
      <c r="I16" t="s">
        <v>68</v>
      </c>
      <c r="J16" t="s">
        <v>69</v>
      </c>
      <c r="K16" t="s">
        <v>69</v>
      </c>
      <c r="L16" t="s">
        <v>70</v>
      </c>
      <c r="M16" t="s">
        <v>71</v>
      </c>
      <c r="N16">
        <v>18579.27</v>
      </c>
      <c r="O16">
        <v>16195.19</v>
      </c>
      <c r="P16">
        <v>0.87168064191973005</v>
      </c>
      <c r="Q16">
        <v>2</v>
      </c>
      <c r="R16">
        <v>0</v>
      </c>
      <c r="S16">
        <v>0</v>
      </c>
      <c r="T16">
        <v>0</v>
      </c>
      <c r="U16">
        <v>0</v>
      </c>
      <c r="V16">
        <v>2</v>
      </c>
      <c r="W16">
        <v>0</v>
      </c>
      <c r="X16">
        <v>0</v>
      </c>
      <c r="Y16">
        <v>1370.8175889699601</v>
      </c>
      <c r="Z16">
        <v>4490.5079934287996</v>
      </c>
      <c r="AA16">
        <v>6333.71219982617</v>
      </c>
      <c r="AB16">
        <v>7331.9416144994602</v>
      </c>
      <c r="AC16">
        <v>7267.95428490008</v>
      </c>
      <c r="AD16">
        <v>4526.1223383702199</v>
      </c>
      <c r="AE16">
        <v>14972.4840736962</v>
      </c>
      <c r="AF16">
        <v>16348.5719462984</v>
      </c>
      <c r="AG16">
        <v>0</v>
      </c>
      <c r="AH16">
        <v>2</v>
      </c>
      <c r="AI16">
        <v>0</v>
      </c>
      <c r="AJ16">
        <v>2</v>
      </c>
      <c r="AK16">
        <v>19.8</v>
      </c>
      <c r="AL16">
        <v>0</v>
      </c>
      <c r="AM16" t="s">
        <v>121</v>
      </c>
      <c r="AN16" t="b">
        <v>0</v>
      </c>
      <c r="AO16" t="s">
        <v>121</v>
      </c>
      <c r="AP16">
        <v>0</v>
      </c>
      <c r="AQ16">
        <v>1</v>
      </c>
      <c r="AR16">
        <v>1.3054508056222101</v>
      </c>
      <c r="AS16">
        <v>1</v>
      </c>
      <c r="AT16">
        <v>6.7469074496581802</v>
      </c>
      <c r="AU16">
        <v>1.7005771402816601</v>
      </c>
      <c r="AV16">
        <v>2.29277504353316</v>
      </c>
      <c r="AW1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30</v>
      </c>
      <c r="AX1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20</v>
      </c>
      <c r="AY16">
        <v>4</v>
      </c>
      <c r="AZ16">
        <v>4</v>
      </c>
      <c r="BA16">
        <v>2.29277504353316</v>
      </c>
      <c r="BB16">
        <v>117</v>
      </c>
      <c r="BC16">
        <v>30</v>
      </c>
      <c r="BD16">
        <v>4.2690286460838802</v>
      </c>
      <c r="BE16">
        <v>15247.7016482166</v>
      </c>
      <c r="BF16" t="s">
        <v>130</v>
      </c>
      <c r="BG16" t="s">
        <v>131</v>
      </c>
      <c r="BH16">
        <f>SUMPRODUCT(Results[[#This Row],[RegionLocation_Norm]:[PopEmp_Score_Norm]],[1]דירוג!$C$4:$G$4)</f>
        <v>3.9251791517593797</v>
      </c>
      <c r="BI1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18</v>
      </c>
      <c r="BJ1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14</v>
      </c>
      <c r="BK1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14</v>
      </c>
    </row>
    <row r="17" spans="1:63" x14ac:dyDescent="0.2">
      <c r="A17">
        <v>32</v>
      </c>
      <c r="B17">
        <v>34.875042878362997</v>
      </c>
      <c r="C17">
        <v>32.318871603931498</v>
      </c>
      <c r="D17" t="s">
        <v>132</v>
      </c>
      <c r="E17" t="s">
        <v>133</v>
      </c>
      <c r="F17" t="s">
        <v>65</v>
      </c>
      <c r="G17" t="s">
        <v>66</v>
      </c>
      <c r="H17" t="s">
        <v>67</v>
      </c>
      <c r="I17" t="s">
        <v>68</v>
      </c>
      <c r="J17" t="s">
        <v>69</v>
      </c>
      <c r="K17" t="s">
        <v>69</v>
      </c>
      <c r="L17" t="s">
        <v>70</v>
      </c>
      <c r="M17" t="s">
        <v>71</v>
      </c>
      <c r="N17">
        <v>2179.41</v>
      </c>
      <c r="O17">
        <v>147.06</v>
      </c>
      <c r="P17">
        <v>6.7476977714151995E-2</v>
      </c>
      <c r="Q17">
        <v>1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1006.75361664809</v>
      </c>
      <c r="Z17">
        <v>7956.2543011459402</v>
      </c>
      <c r="AA17">
        <v>8584.5888535056893</v>
      </c>
      <c r="AB17">
        <v>9184.5578813783304</v>
      </c>
      <c r="AC17">
        <v>10808.87518384</v>
      </c>
      <c r="AD17">
        <v>4365.0754336988903</v>
      </c>
      <c r="AE17">
        <v>20400.217653993801</v>
      </c>
      <c r="AF17">
        <v>21505.887616223099</v>
      </c>
      <c r="AG17">
        <v>0</v>
      </c>
      <c r="AH17">
        <v>2</v>
      </c>
      <c r="AI17">
        <v>0</v>
      </c>
      <c r="AJ17">
        <v>2</v>
      </c>
      <c r="AK17">
        <v>9.9</v>
      </c>
      <c r="AL17">
        <v>0</v>
      </c>
      <c r="AM17" t="s">
        <v>72</v>
      </c>
      <c r="AN17" t="b">
        <v>0</v>
      </c>
      <c r="AO17" t="s">
        <v>72</v>
      </c>
      <c r="AP17">
        <v>0</v>
      </c>
      <c r="AQ17">
        <v>1</v>
      </c>
      <c r="AR17">
        <v>1</v>
      </c>
      <c r="AS17">
        <v>1</v>
      </c>
      <c r="AT17">
        <v>2.4710746092562599</v>
      </c>
      <c r="AU17">
        <v>1.9909852386831099</v>
      </c>
      <c r="AV17">
        <v>2.7469313364593302</v>
      </c>
      <c r="AW1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21</v>
      </c>
      <c r="AX1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21</v>
      </c>
      <c r="AY17">
        <v>2</v>
      </c>
      <c r="AZ17">
        <v>2</v>
      </c>
      <c r="BA17">
        <v>2.7469313364593302</v>
      </c>
      <c r="BB17">
        <v>94</v>
      </c>
      <c r="BC17">
        <v>21</v>
      </c>
      <c r="BD17">
        <v>3.3383389392814702</v>
      </c>
      <c r="BE17">
        <v>21284.753623777298</v>
      </c>
      <c r="BF17" t="s">
        <v>73</v>
      </c>
      <c r="BG17" t="s">
        <v>134</v>
      </c>
      <c r="BH17">
        <f>SUMPRODUCT(Results[[#This Row],[RegionLocation_Norm]:[PopEmp_Score_Norm]],[1]דירוג!$C$4:$G$4)</f>
        <v>1.8389206114014445</v>
      </c>
      <c r="BI1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24</v>
      </c>
      <c r="BJ1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24</v>
      </c>
      <c r="BK1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25</v>
      </c>
    </row>
    <row r="18" spans="1:63" x14ac:dyDescent="0.2">
      <c r="A18">
        <v>37</v>
      </c>
      <c r="B18">
        <v>34.870704699792398</v>
      </c>
      <c r="C18">
        <v>32.305937926412099</v>
      </c>
      <c r="D18" t="s">
        <v>135</v>
      </c>
      <c r="E18" t="s">
        <v>136</v>
      </c>
      <c r="F18" t="s">
        <v>65</v>
      </c>
      <c r="G18" t="s">
        <v>66</v>
      </c>
      <c r="H18" t="s">
        <v>67</v>
      </c>
      <c r="I18" t="s">
        <v>68</v>
      </c>
      <c r="J18" t="s">
        <v>69</v>
      </c>
      <c r="K18" t="s">
        <v>69</v>
      </c>
      <c r="L18" t="s">
        <v>70</v>
      </c>
      <c r="M18" t="s">
        <v>71</v>
      </c>
      <c r="N18">
        <v>3396</v>
      </c>
      <c r="O18">
        <v>78.679999999999893</v>
      </c>
      <c r="P18">
        <v>2.3168433451118901E-2</v>
      </c>
      <c r="Q18">
        <v>1</v>
      </c>
      <c r="R18">
        <v>0</v>
      </c>
      <c r="S18">
        <v>0</v>
      </c>
      <c r="T18">
        <v>0</v>
      </c>
      <c r="U18">
        <v>0</v>
      </c>
      <c r="V18">
        <v>1</v>
      </c>
      <c r="W18">
        <v>0</v>
      </c>
      <c r="X18">
        <v>0</v>
      </c>
      <c r="Y18">
        <v>10855.3272775607</v>
      </c>
      <c r="Z18">
        <v>5698.7992871739298</v>
      </c>
      <c r="AA18">
        <v>18601.6001667569</v>
      </c>
      <c r="AB18">
        <v>9391.9664856670606</v>
      </c>
      <c r="AC18">
        <v>13573.273670464299</v>
      </c>
      <c r="AD18">
        <v>5685.5097866554797</v>
      </c>
      <c r="AE18">
        <v>43030.201114782001</v>
      </c>
      <c r="AF18">
        <v>20776.2755594964</v>
      </c>
      <c r="AG18">
        <v>0</v>
      </c>
      <c r="AH18">
        <v>2</v>
      </c>
      <c r="AI18">
        <v>0</v>
      </c>
      <c r="AJ18">
        <v>2</v>
      </c>
      <c r="AK18">
        <v>9.9</v>
      </c>
      <c r="AL18">
        <v>2</v>
      </c>
      <c r="AM18" t="s">
        <v>72</v>
      </c>
      <c r="AN18" t="b">
        <v>0</v>
      </c>
      <c r="AO18" t="s">
        <v>72</v>
      </c>
      <c r="AP18">
        <v>2</v>
      </c>
      <c r="AQ18">
        <v>1</v>
      </c>
      <c r="AR18">
        <v>1</v>
      </c>
      <c r="AS18">
        <v>7</v>
      </c>
      <c r="AT18">
        <v>3.6499680528043399</v>
      </c>
      <c r="AU18">
        <v>2.1806271197541598</v>
      </c>
      <c r="AV18">
        <v>5.3810105260888497</v>
      </c>
      <c r="AW1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</v>
      </c>
      <c r="AX1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</v>
      </c>
      <c r="AY18">
        <v>2</v>
      </c>
      <c r="AZ18">
        <v>2</v>
      </c>
      <c r="BA18">
        <v>5.3810105260888497</v>
      </c>
      <c r="BB18">
        <v>16</v>
      </c>
      <c r="BC18">
        <v>4</v>
      </c>
      <c r="BD18">
        <v>3.53096768157191</v>
      </c>
      <c r="BE18">
        <v>25227.060670553601</v>
      </c>
      <c r="BF18" t="s">
        <v>73</v>
      </c>
      <c r="BG18" t="s">
        <v>137</v>
      </c>
      <c r="BH18">
        <f>SUMPRODUCT(Results[[#This Row],[RegionLocation_Norm]:[PopEmp_Score_Norm]],[1]דירוג!$C$4:$G$4)</f>
        <v>2.7887918988863025</v>
      </c>
      <c r="BI1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13</v>
      </c>
      <c r="BJ1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13</v>
      </c>
      <c r="BK1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19</v>
      </c>
    </row>
    <row r="19" spans="1:63" x14ac:dyDescent="0.2">
      <c r="A19">
        <v>41</v>
      </c>
      <c r="B19">
        <v>34.871027388161899</v>
      </c>
      <c r="C19">
        <v>32.300839967336003</v>
      </c>
      <c r="D19" t="s">
        <v>138</v>
      </c>
      <c r="E19" t="s">
        <v>139</v>
      </c>
      <c r="F19" t="s">
        <v>65</v>
      </c>
      <c r="G19" t="s">
        <v>66</v>
      </c>
      <c r="H19" t="s">
        <v>67</v>
      </c>
      <c r="I19" t="s">
        <v>68</v>
      </c>
      <c r="J19" t="s">
        <v>69</v>
      </c>
      <c r="K19" t="s">
        <v>69</v>
      </c>
      <c r="L19" t="s">
        <v>70</v>
      </c>
      <c r="M19" t="s">
        <v>71</v>
      </c>
      <c r="N19">
        <v>4014.06</v>
      </c>
      <c r="O19">
        <v>186.41</v>
      </c>
      <c r="P19">
        <v>4.6439265980079997E-2</v>
      </c>
      <c r="Q19">
        <v>1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12163.453735962001</v>
      </c>
      <c r="Z19">
        <v>3942.5543802346501</v>
      </c>
      <c r="AA19">
        <v>18265.817783113202</v>
      </c>
      <c r="AB19">
        <v>9316.6785355556094</v>
      </c>
      <c r="AC19">
        <v>11154.4074022357</v>
      </c>
      <c r="AD19">
        <v>5576.3146022021801</v>
      </c>
      <c r="AE19">
        <v>41583.6789213109</v>
      </c>
      <c r="AF19">
        <v>18835.5475179924</v>
      </c>
      <c r="AG19">
        <v>0</v>
      </c>
      <c r="AH19">
        <v>2</v>
      </c>
      <c r="AI19">
        <v>0</v>
      </c>
      <c r="AJ19">
        <v>2</v>
      </c>
      <c r="AK19">
        <v>9.9</v>
      </c>
      <c r="AL19">
        <v>2</v>
      </c>
      <c r="AM19" t="s">
        <v>72</v>
      </c>
      <c r="AN19" t="b">
        <v>0</v>
      </c>
      <c r="AO19" t="s">
        <v>72</v>
      </c>
      <c r="AP19">
        <v>2</v>
      </c>
      <c r="AQ19">
        <v>1</v>
      </c>
      <c r="AR19">
        <v>1</v>
      </c>
      <c r="AS19">
        <v>7</v>
      </c>
      <c r="AT19">
        <v>4.0943811522712998</v>
      </c>
      <c r="AU19">
        <v>2.09202445969694</v>
      </c>
      <c r="AV19">
        <v>5.53025668275514</v>
      </c>
      <c r="AW1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</v>
      </c>
      <c r="AX1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</v>
      </c>
      <c r="AY19">
        <v>2</v>
      </c>
      <c r="AZ19">
        <v>2</v>
      </c>
      <c r="BA19">
        <v>5.53025668275514</v>
      </c>
      <c r="BB19">
        <v>14</v>
      </c>
      <c r="BC19">
        <v>3</v>
      </c>
      <c r="BD19">
        <v>3.6035838597992398</v>
      </c>
      <c r="BE19">
        <v>23385.173798656098</v>
      </c>
      <c r="BF19" t="s">
        <v>73</v>
      </c>
      <c r="BG19" t="s">
        <v>140</v>
      </c>
      <c r="BH19">
        <f>SUMPRODUCT(Results[[#This Row],[RegionLocation_Norm]:[PopEmp_Score_Norm]],[1]דירוג!$C$4:$G$4)</f>
        <v>2.9889055906835562</v>
      </c>
      <c r="BI1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9</v>
      </c>
      <c r="BJ1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9</v>
      </c>
      <c r="BK1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14</v>
      </c>
    </row>
    <row r="20" spans="1:63" x14ac:dyDescent="0.2">
      <c r="A20">
        <v>43</v>
      </c>
      <c r="B20">
        <v>34.8991990397124</v>
      </c>
      <c r="C20">
        <v>32.324226670995898</v>
      </c>
      <c r="D20" t="s">
        <v>141</v>
      </c>
      <c r="E20" t="s">
        <v>142</v>
      </c>
      <c r="F20" t="s">
        <v>65</v>
      </c>
      <c r="G20" t="s">
        <v>66</v>
      </c>
      <c r="H20" t="s">
        <v>67</v>
      </c>
      <c r="I20" t="s">
        <v>68</v>
      </c>
      <c r="J20" t="s">
        <v>69</v>
      </c>
      <c r="K20" t="s">
        <v>69</v>
      </c>
      <c r="L20" t="s">
        <v>70</v>
      </c>
      <c r="M20" t="s">
        <v>71</v>
      </c>
      <c r="N20">
        <v>15690.52</v>
      </c>
      <c r="O20">
        <v>10561.7</v>
      </c>
      <c r="P20">
        <v>0.67312619339575697</v>
      </c>
      <c r="Q20">
        <v>1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1413.45037415401</v>
      </c>
      <c r="Z20">
        <v>689.71754170640099</v>
      </c>
      <c r="AA20">
        <v>3813.8901125278799</v>
      </c>
      <c r="AB20">
        <v>1729.0604580834099</v>
      </c>
      <c r="AC20">
        <v>4087.4909026039199</v>
      </c>
      <c r="AD20">
        <v>1660.0565869122399</v>
      </c>
      <c r="AE20">
        <v>9314.8313892858205</v>
      </c>
      <c r="AF20">
        <v>4078.8345867020598</v>
      </c>
      <c r="AG20">
        <v>0</v>
      </c>
      <c r="AH20">
        <v>2</v>
      </c>
      <c r="AI20">
        <v>0</v>
      </c>
      <c r="AJ20">
        <v>2</v>
      </c>
      <c r="AK20">
        <v>9.9</v>
      </c>
      <c r="AL20">
        <v>0</v>
      </c>
      <c r="AM20" t="s">
        <v>72</v>
      </c>
      <c r="AN20" t="b">
        <v>0</v>
      </c>
      <c r="AO20" t="s">
        <v>72</v>
      </c>
      <c r="AP20">
        <v>0</v>
      </c>
      <c r="AQ20">
        <v>1</v>
      </c>
      <c r="AR20">
        <v>1</v>
      </c>
      <c r="AS20">
        <v>1</v>
      </c>
      <c r="AT20">
        <v>7.7177654611628697</v>
      </c>
      <c r="AU20">
        <v>1.2136815028749099</v>
      </c>
      <c r="AV20">
        <v>3.4475425422877999</v>
      </c>
      <c r="AW2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15</v>
      </c>
      <c r="AX2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15</v>
      </c>
      <c r="AY20">
        <v>2</v>
      </c>
      <c r="AZ20">
        <v>2</v>
      </c>
      <c r="BA20">
        <v>3.4475425422877999</v>
      </c>
      <c r="BB20">
        <v>60</v>
      </c>
      <c r="BC20">
        <v>15</v>
      </c>
      <c r="BD20">
        <v>4.1956373367920596</v>
      </c>
      <c r="BE20">
        <v>5126.0339472188098</v>
      </c>
      <c r="BF20" t="s">
        <v>73</v>
      </c>
      <c r="BG20" t="s">
        <v>143</v>
      </c>
      <c r="BH20">
        <f>SUMPRODUCT(Results[[#This Row],[RegionLocation_Norm]:[PopEmp_Score_Norm]],[1]דירוג!$C$4:$G$4)</f>
        <v>4.2387936193354641</v>
      </c>
      <c r="BI2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</v>
      </c>
      <c r="BJ2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</v>
      </c>
      <c r="BK2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</v>
      </c>
    </row>
    <row r="21" spans="1:63" x14ac:dyDescent="0.2">
      <c r="A21">
        <v>44</v>
      </c>
      <c r="B21">
        <v>34.905669840042101</v>
      </c>
      <c r="C21">
        <v>32.323824108457998</v>
      </c>
      <c r="D21" t="s">
        <v>144</v>
      </c>
      <c r="E21" t="s">
        <v>145</v>
      </c>
      <c r="F21" t="s">
        <v>65</v>
      </c>
      <c r="G21" t="s">
        <v>66</v>
      </c>
      <c r="H21" t="s">
        <v>146</v>
      </c>
      <c r="I21" t="s">
        <v>68</v>
      </c>
      <c r="J21" t="s">
        <v>69</v>
      </c>
      <c r="K21" t="s">
        <v>69</v>
      </c>
      <c r="L21" t="s">
        <v>70</v>
      </c>
      <c r="M21" t="s">
        <v>71</v>
      </c>
      <c r="N21">
        <v>37029.660000000003</v>
      </c>
      <c r="O21">
        <v>33981.71</v>
      </c>
      <c r="P21">
        <v>0.91768895528611305</v>
      </c>
      <c r="Q21">
        <v>1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3236.7406293531299</v>
      </c>
      <c r="Z21">
        <v>1513.72544425819</v>
      </c>
      <c r="AA21">
        <v>5119.1594205069696</v>
      </c>
      <c r="AB21">
        <v>2403.4766195011298</v>
      </c>
      <c r="AC21">
        <v>3309.9692817119098</v>
      </c>
      <c r="AD21">
        <v>1520.28787318695</v>
      </c>
      <c r="AE21">
        <v>11665.869331571999</v>
      </c>
      <c r="AF21">
        <v>5437.4899369462701</v>
      </c>
      <c r="AG21">
        <v>0</v>
      </c>
      <c r="AH21">
        <v>2</v>
      </c>
      <c r="AI21">
        <v>0</v>
      </c>
      <c r="AJ21">
        <v>2</v>
      </c>
      <c r="AK21">
        <v>9.9</v>
      </c>
      <c r="AL21">
        <v>3</v>
      </c>
      <c r="AM21" t="s">
        <v>72</v>
      </c>
      <c r="AN21" t="b">
        <v>0</v>
      </c>
      <c r="AO21" t="s">
        <v>72</v>
      </c>
      <c r="AP21">
        <v>3</v>
      </c>
      <c r="AQ21">
        <v>1</v>
      </c>
      <c r="AR21">
        <v>1</v>
      </c>
      <c r="AS21">
        <v>10</v>
      </c>
      <c r="AT21">
        <v>10</v>
      </c>
      <c r="AU21">
        <v>1.28858622570426</v>
      </c>
      <c r="AV21">
        <v>5.9427131643555304</v>
      </c>
      <c r="AW2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</v>
      </c>
      <c r="AX2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21">
        <v>2</v>
      </c>
      <c r="AZ21">
        <v>2</v>
      </c>
      <c r="BA21">
        <v>5.9427131643555304</v>
      </c>
      <c r="BB21">
        <v>8</v>
      </c>
      <c r="BC21">
        <v>1</v>
      </c>
      <c r="BD21">
        <v>4.5685497244501496</v>
      </c>
      <c r="BE21">
        <v>6683.1658158714199</v>
      </c>
      <c r="BF21" t="s">
        <v>147</v>
      </c>
      <c r="BG21" t="s">
        <v>148</v>
      </c>
      <c r="BH21">
        <f>SUMPRODUCT(Results[[#This Row],[RegionLocation_Norm]:[PopEmp_Score_Norm]],[1]דירוג!$C$4:$G$4)</f>
        <v>5.8801134853728918</v>
      </c>
      <c r="BI2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</v>
      </c>
      <c r="BJ2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2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</v>
      </c>
    </row>
    <row r="22" spans="1:63" x14ac:dyDescent="0.2">
      <c r="A22">
        <v>59</v>
      </c>
      <c r="B22">
        <v>34.954210238784597</v>
      </c>
      <c r="C22">
        <v>32.485508350199403</v>
      </c>
      <c r="D22" t="s">
        <v>149</v>
      </c>
      <c r="E22" t="s">
        <v>150</v>
      </c>
      <c r="F22" t="s">
        <v>98</v>
      </c>
      <c r="G22" t="s">
        <v>99</v>
      </c>
      <c r="H22" t="s">
        <v>151</v>
      </c>
      <c r="I22" t="s">
        <v>68</v>
      </c>
      <c r="J22" t="s">
        <v>101</v>
      </c>
      <c r="K22" t="s">
        <v>101</v>
      </c>
      <c r="L22" t="s">
        <v>102</v>
      </c>
      <c r="M22" t="s">
        <v>103</v>
      </c>
      <c r="N22">
        <v>42573.259075100003</v>
      </c>
      <c r="O22">
        <v>13596.407223099999</v>
      </c>
      <c r="P22">
        <v>0.31936496097504902</v>
      </c>
      <c r="Q22">
        <v>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4</v>
      </c>
      <c r="Y22">
        <v>941.78097348341805</v>
      </c>
      <c r="Z22">
        <v>595.13169749454903</v>
      </c>
      <c r="AA22">
        <v>1693.95176651716</v>
      </c>
      <c r="AB22">
        <v>1055.0645474150299</v>
      </c>
      <c r="AC22">
        <v>1193.0608467729601</v>
      </c>
      <c r="AD22">
        <v>721.47697069679305</v>
      </c>
      <c r="AE22">
        <v>3828.79358677355</v>
      </c>
      <c r="AF22">
        <v>2371.6732156063699</v>
      </c>
      <c r="AG22">
        <v>1</v>
      </c>
      <c r="AH22">
        <v>1</v>
      </c>
      <c r="AI22">
        <v>1</v>
      </c>
      <c r="AJ22">
        <v>2</v>
      </c>
      <c r="AK22">
        <v>35.200000000000003</v>
      </c>
      <c r="AL22">
        <v>2</v>
      </c>
      <c r="AM22" t="s">
        <v>104</v>
      </c>
      <c r="AN22" t="b">
        <v>0</v>
      </c>
      <c r="AO22" t="s">
        <v>104</v>
      </c>
      <c r="AP22">
        <v>2</v>
      </c>
      <c r="AQ22">
        <v>4</v>
      </c>
      <c r="AR22">
        <v>1.7805965032567701</v>
      </c>
      <c r="AS22">
        <v>7</v>
      </c>
      <c r="AT22">
        <v>5.6644705904275101</v>
      </c>
      <c r="AU22">
        <v>1.0952036838917101</v>
      </c>
      <c r="AV22">
        <v>3.92090945569272</v>
      </c>
      <c r="AW2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19</v>
      </c>
      <c r="AX2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5</v>
      </c>
      <c r="AY22">
        <v>6</v>
      </c>
      <c r="AZ22">
        <v>6</v>
      </c>
      <c r="BA22">
        <v>3.92090945569272</v>
      </c>
      <c r="BB22">
        <v>46</v>
      </c>
      <c r="BC22">
        <v>18</v>
      </c>
      <c r="BD22">
        <v>4.6291368976320202</v>
      </c>
      <c r="BE22">
        <v>2663.0972898398099</v>
      </c>
      <c r="BF22" t="s">
        <v>152</v>
      </c>
      <c r="BG22" t="s">
        <v>153</v>
      </c>
      <c r="BH22">
        <f>SUMPRODUCT(Results[[#This Row],[RegionLocation_Norm]:[PopEmp_Score_Norm]],[1]דירוג!$C$4:$G$4)</f>
        <v>3.9623919066678823</v>
      </c>
      <c r="BI2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29</v>
      </c>
      <c r="BJ2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</v>
      </c>
      <c r="BK2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32</v>
      </c>
    </row>
    <row r="23" spans="1:63" x14ac:dyDescent="0.2">
      <c r="A23">
        <v>69</v>
      </c>
      <c r="B23">
        <v>34.899104434525498</v>
      </c>
      <c r="C23">
        <v>32.438206619943301</v>
      </c>
      <c r="D23" t="s">
        <v>154</v>
      </c>
      <c r="E23" t="s">
        <v>155</v>
      </c>
      <c r="F23" t="s">
        <v>156</v>
      </c>
      <c r="G23" t="s">
        <v>157</v>
      </c>
      <c r="H23" t="s">
        <v>158</v>
      </c>
      <c r="I23" t="s">
        <v>68</v>
      </c>
      <c r="J23" t="s">
        <v>101</v>
      </c>
      <c r="K23" t="s">
        <v>101</v>
      </c>
      <c r="L23" t="s">
        <v>102</v>
      </c>
      <c r="M23" t="s">
        <v>103</v>
      </c>
      <c r="N23">
        <v>175365.358771</v>
      </c>
      <c r="O23">
        <v>15853.479551</v>
      </c>
      <c r="P23">
        <v>9.0402572447060001E-2</v>
      </c>
      <c r="Q23">
        <v>2</v>
      </c>
      <c r="R23">
        <v>0</v>
      </c>
      <c r="S23">
        <v>0</v>
      </c>
      <c r="T23">
        <v>0</v>
      </c>
      <c r="U23">
        <v>3</v>
      </c>
      <c r="V23">
        <v>0</v>
      </c>
      <c r="W23">
        <v>0</v>
      </c>
      <c r="X23">
        <v>3</v>
      </c>
      <c r="Y23">
        <v>3782.6608012646102</v>
      </c>
      <c r="Z23">
        <v>989.82785969550696</v>
      </c>
      <c r="AA23">
        <v>7007.6539852331998</v>
      </c>
      <c r="AB23">
        <v>2235.52676464763</v>
      </c>
      <c r="AC23">
        <v>5541.9529823698504</v>
      </c>
      <c r="AD23">
        <v>2885.57805864185</v>
      </c>
      <c r="AE23">
        <v>16332.267768867599</v>
      </c>
      <c r="AF23">
        <v>6110.9326829849997</v>
      </c>
      <c r="AG23">
        <v>1</v>
      </c>
      <c r="AH23">
        <v>1</v>
      </c>
      <c r="AI23">
        <v>1</v>
      </c>
      <c r="AJ23">
        <v>3</v>
      </c>
      <c r="AK23">
        <v>56.4</v>
      </c>
      <c r="AL23">
        <v>2</v>
      </c>
      <c r="AM23" t="s">
        <v>159</v>
      </c>
      <c r="AN23" t="b">
        <v>0</v>
      </c>
      <c r="AO23" t="s">
        <v>159</v>
      </c>
      <c r="AP23">
        <v>2</v>
      </c>
      <c r="AQ23">
        <v>4</v>
      </c>
      <c r="AR23">
        <v>2.43469317792252</v>
      </c>
      <c r="AS23">
        <v>7</v>
      </c>
      <c r="AT23">
        <v>4.8185149098018796</v>
      </c>
      <c r="AU23">
        <v>1.35939737042353</v>
      </c>
      <c r="AV23">
        <v>3.5567867722714799</v>
      </c>
      <c r="AW2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12</v>
      </c>
      <c r="AX2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12</v>
      </c>
      <c r="AY23">
        <v>8</v>
      </c>
      <c r="AZ23">
        <v>8</v>
      </c>
      <c r="BA23">
        <v>3.5567867722714799</v>
      </c>
      <c r="BB23">
        <v>54</v>
      </c>
      <c r="BC23">
        <v>12</v>
      </c>
      <c r="BD23">
        <v>5.2439438080697602</v>
      </c>
      <c r="BE23">
        <v>8155.19970016153</v>
      </c>
      <c r="BF23" t="s">
        <v>160</v>
      </c>
      <c r="BG23" t="s">
        <v>161</v>
      </c>
      <c r="BH23">
        <f>SUMPRODUCT(Results[[#This Row],[RegionLocation_Norm]:[PopEmp_Score_Norm]],[1]דירוג!$C$4:$G$4)</f>
        <v>3.7720082125911722</v>
      </c>
      <c r="BI2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11</v>
      </c>
      <c r="BJ2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11</v>
      </c>
      <c r="BK2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7</v>
      </c>
    </row>
    <row r="24" spans="1:63" x14ac:dyDescent="0.2">
      <c r="A24">
        <v>94</v>
      </c>
      <c r="B24">
        <v>34.886843407212702</v>
      </c>
      <c r="C24">
        <v>32.172811361340401</v>
      </c>
      <c r="D24" t="s">
        <v>162</v>
      </c>
      <c r="E24" t="s">
        <v>163</v>
      </c>
      <c r="F24" t="s">
        <v>164</v>
      </c>
      <c r="G24" t="s">
        <v>165</v>
      </c>
      <c r="H24" t="s">
        <v>166</v>
      </c>
      <c r="I24" t="s">
        <v>68</v>
      </c>
      <c r="J24" t="s">
        <v>69</v>
      </c>
      <c r="K24" t="s">
        <v>69</v>
      </c>
      <c r="L24" t="s">
        <v>167</v>
      </c>
      <c r="M24" t="s">
        <v>71</v>
      </c>
      <c r="N24">
        <v>54720.83</v>
      </c>
      <c r="O24">
        <v>51552.53</v>
      </c>
      <c r="P24">
        <v>0.94210065892640804</v>
      </c>
      <c r="Q24">
        <v>1</v>
      </c>
      <c r="R24">
        <v>0</v>
      </c>
      <c r="S24">
        <v>0</v>
      </c>
      <c r="T24">
        <v>0</v>
      </c>
      <c r="U24">
        <v>0</v>
      </c>
      <c r="V24">
        <v>3</v>
      </c>
      <c r="W24">
        <v>0</v>
      </c>
      <c r="X24">
        <v>4</v>
      </c>
      <c r="Y24">
        <v>5441.7972044520702</v>
      </c>
      <c r="Z24">
        <v>10462.2634408545</v>
      </c>
      <c r="AA24">
        <v>18989.1397294772</v>
      </c>
      <c r="AB24">
        <v>7662.6184235662004</v>
      </c>
      <c r="AC24">
        <v>14947.970211824901</v>
      </c>
      <c r="AD24">
        <v>8109.61394544629</v>
      </c>
      <c r="AE24">
        <v>39378.907145754201</v>
      </c>
      <c r="AF24">
        <v>26234.495809866999</v>
      </c>
      <c r="AG24">
        <v>0</v>
      </c>
      <c r="AH24">
        <v>2</v>
      </c>
      <c r="AI24">
        <v>0</v>
      </c>
      <c r="AJ24">
        <v>3</v>
      </c>
      <c r="AK24">
        <v>51.6</v>
      </c>
      <c r="AL24">
        <v>0</v>
      </c>
      <c r="AM24" t="s">
        <v>104</v>
      </c>
      <c r="AN24" t="b">
        <v>0</v>
      </c>
      <c r="AO24" t="s">
        <v>104</v>
      </c>
      <c r="AP24">
        <v>0</v>
      </c>
      <c r="AQ24">
        <v>1</v>
      </c>
      <c r="AR24">
        <v>2.2865958176208401</v>
      </c>
      <c r="AS24">
        <v>1</v>
      </c>
      <c r="AT24">
        <v>6.2178668025583201</v>
      </c>
      <c r="AU24">
        <v>2.3555495864611098</v>
      </c>
      <c r="AV24">
        <v>2.6835473283963598</v>
      </c>
      <c r="AW2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41</v>
      </c>
      <c r="AX2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30</v>
      </c>
      <c r="AY24">
        <v>8</v>
      </c>
      <c r="AZ24">
        <v>8</v>
      </c>
      <c r="BA24">
        <v>2.6835473283963598</v>
      </c>
      <c r="BB24">
        <v>98</v>
      </c>
      <c r="BC24">
        <v>43</v>
      </c>
      <c r="BD24">
        <v>4.7381526760966697</v>
      </c>
      <c r="BE24">
        <v>28863.378077044501</v>
      </c>
      <c r="BF24" t="s">
        <v>168</v>
      </c>
      <c r="BG24" t="s">
        <v>169</v>
      </c>
      <c r="BH24">
        <f>SUMPRODUCT(Results[[#This Row],[RegionLocation_Norm]:[PopEmp_Score_Norm]],[1]דירוג!$C$4:$G$4)</f>
        <v>4.0292291907162188</v>
      </c>
      <c r="BI2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27</v>
      </c>
      <c r="BJ2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23</v>
      </c>
      <c r="BK2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23</v>
      </c>
    </row>
    <row r="25" spans="1:63" x14ac:dyDescent="0.2">
      <c r="A25">
        <v>95</v>
      </c>
      <c r="B25">
        <v>34.894228069753801</v>
      </c>
      <c r="C25">
        <v>32.178195872055603</v>
      </c>
      <c r="D25" t="s">
        <v>170</v>
      </c>
      <c r="E25" t="s">
        <v>171</v>
      </c>
      <c r="F25" t="s">
        <v>172</v>
      </c>
      <c r="G25" t="s">
        <v>173</v>
      </c>
      <c r="H25" t="s">
        <v>174</v>
      </c>
      <c r="I25" t="s">
        <v>68</v>
      </c>
      <c r="J25" t="s">
        <v>69</v>
      </c>
      <c r="K25" t="s">
        <v>69</v>
      </c>
      <c r="L25" t="s">
        <v>167</v>
      </c>
      <c r="M25" t="s">
        <v>71</v>
      </c>
      <c r="N25">
        <v>137617.76</v>
      </c>
      <c r="O25">
        <v>121477.24</v>
      </c>
      <c r="P25">
        <v>0.88271484726971206</v>
      </c>
      <c r="Q25">
        <v>1</v>
      </c>
      <c r="R25">
        <v>0</v>
      </c>
      <c r="S25">
        <v>0</v>
      </c>
      <c r="T25">
        <v>0</v>
      </c>
      <c r="U25">
        <v>0</v>
      </c>
      <c r="V25">
        <v>4.5</v>
      </c>
      <c r="W25">
        <v>2.5</v>
      </c>
      <c r="X25">
        <v>0</v>
      </c>
      <c r="Y25">
        <v>14821.5529627453</v>
      </c>
      <c r="Z25">
        <v>18945.293730567799</v>
      </c>
      <c r="AA25">
        <v>25732.489344772199</v>
      </c>
      <c r="AB25">
        <v>15586.8181136106</v>
      </c>
      <c r="AC25">
        <v>17293.663209851198</v>
      </c>
      <c r="AD25">
        <v>6561.1535634577103</v>
      </c>
      <c r="AE25">
        <v>57847.705517368799</v>
      </c>
      <c r="AF25">
        <v>41093.265407636201</v>
      </c>
      <c r="AG25">
        <v>0</v>
      </c>
      <c r="AH25">
        <v>2</v>
      </c>
      <c r="AI25">
        <v>0</v>
      </c>
      <c r="AJ25">
        <v>3</v>
      </c>
      <c r="AK25">
        <v>49.8</v>
      </c>
      <c r="AL25">
        <v>2</v>
      </c>
      <c r="AM25" t="s">
        <v>104</v>
      </c>
      <c r="AN25" t="b">
        <v>0</v>
      </c>
      <c r="AO25" t="s">
        <v>104</v>
      </c>
      <c r="AP25">
        <v>2</v>
      </c>
      <c r="AQ25">
        <v>1</v>
      </c>
      <c r="AR25">
        <v>2.2310593075077101</v>
      </c>
      <c r="AS25">
        <v>7</v>
      </c>
      <c r="AT25">
        <v>8.2510335129796104</v>
      </c>
      <c r="AU25">
        <v>3.10505172095792</v>
      </c>
      <c r="AV25">
        <v>4.5134877928265098</v>
      </c>
      <c r="AW2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10</v>
      </c>
      <c r="AX2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</v>
      </c>
      <c r="AY25">
        <v>8</v>
      </c>
      <c r="AZ25">
        <v>8</v>
      </c>
      <c r="BA25">
        <v>4.5134877928265098</v>
      </c>
      <c r="BB25">
        <v>33</v>
      </c>
      <c r="BC25">
        <v>10</v>
      </c>
      <c r="BD25">
        <v>5.13867448457012</v>
      </c>
      <c r="BE25">
        <v>44444.1534295827</v>
      </c>
      <c r="BF25" t="s">
        <v>175</v>
      </c>
      <c r="BG25" t="s">
        <v>176</v>
      </c>
      <c r="BH25">
        <f>SUMPRODUCT(Results[[#This Row],[RegionLocation_Norm]:[PopEmp_Score_Norm]],[1]דירוג!$C$4:$G$4)</f>
        <v>5.4502132807519938</v>
      </c>
      <c r="BI2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8</v>
      </c>
      <c r="BJ2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7</v>
      </c>
      <c r="BK2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10</v>
      </c>
    </row>
    <row r="26" spans="1:63" x14ac:dyDescent="0.2">
      <c r="A26">
        <v>100</v>
      </c>
      <c r="B26">
        <v>34.916011631741199</v>
      </c>
      <c r="C26">
        <v>32.200293452556998</v>
      </c>
      <c r="D26" t="s">
        <v>177</v>
      </c>
      <c r="E26" t="s">
        <v>178</v>
      </c>
      <c r="F26" t="s">
        <v>65</v>
      </c>
      <c r="G26" t="s">
        <v>66</v>
      </c>
      <c r="H26" t="s">
        <v>67</v>
      </c>
      <c r="I26" t="s">
        <v>68</v>
      </c>
      <c r="J26" t="s">
        <v>69</v>
      </c>
      <c r="K26" t="s">
        <v>69</v>
      </c>
      <c r="L26" t="s">
        <v>70</v>
      </c>
      <c r="M26" t="s">
        <v>71</v>
      </c>
      <c r="N26">
        <v>14080.48</v>
      </c>
      <c r="O26">
        <v>110.97</v>
      </c>
      <c r="P26">
        <v>7.88112337079417E-3</v>
      </c>
      <c r="Q26">
        <v>1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827.16751192002198</v>
      </c>
      <c r="Z26">
        <v>407.31095877399099</v>
      </c>
      <c r="AA26">
        <v>5121.0635410578298</v>
      </c>
      <c r="AB26">
        <v>1824.7870401459199</v>
      </c>
      <c r="AC26">
        <v>3987.5851459454302</v>
      </c>
      <c r="AD26">
        <v>1385.0244698725601</v>
      </c>
      <c r="AE26">
        <v>9935.8161989232904</v>
      </c>
      <c r="AF26">
        <v>3617.12246879247</v>
      </c>
      <c r="AG26">
        <v>0</v>
      </c>
      <c r="AH26">
        <v>2</v>
      </c>
      <c r="AI26">
        <v>0</v>
      </c>
      <c r="AJ26">
        <v>2</v>
      </c>
      <c r="AK26">
        <v>9.9</v>
      </c>
      <c r="AL26">
        <v>0</v>
      </c>
      <c r="AM26" t="s">
        <v>72</v>
      </c>
      <c r="AN26" t="b">
        <v>0</v>
      </c>
      <c r="AO26" t="s">
        <v>72</v>
      </c>
      <c r="AP26">
        <v>0</v>
      </c>
      <c r="AQ26">
        <v>1</v>
      </c>
      <c r="AR26">
        <v>1</v>
      </c>
      <c r="AS26">
        <v>1</v>
      </c>
      <c r="AT26">
        <v>7.4300024630164101</v>
      </c>
      <c r="AU26">
        <v>1.2018876426788401</v>
      </c>
      <c r="AV26">
        <v>3.34686102509575</v>
      </c>
      <c r="AW2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17</v>
      </c>
      <c r="AX2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17</v>
      </c>
      <c r="AY26">
        <v>2</v>
      </c>
      <c r="AZ26">
        <v>2</v>
      </c>
      <c r="BA26">
        <v>3.34686102509575</v>
      </c>
      <c r="BB26">
        <v>65</v>
      </c>
      <c r="BC26">
        <v>17</v>
      </c>
      <c r="BD26">
        <v>4.1486174600474301</v>
      </c>
      <c r="BE26">
        <v>4880.8612148186403</v>
      </c>
      <c r="BF26" t="s">
        <v>73</v>
      </c>
      <c r="BG26" t="s">
        <v>179</v>
      </c>
      <c r="BH26">
        <f>SUMPRODUCT(Results[[#This Row],[RegionLocation_Norm]:[PopEmp_Score_Norm]],[1]דירוג!$C$4:$G$4)</f>
        <v>4.0996035596542031</v>
      </c>
      <c r="BI2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</v>
      </c>
      <c r="BJ2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5</v>
      </c>
      <c r="BK2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</v>
      </c>
    </row>
    <row r="27" spans="1:63" x14ac:dyDescent="0.2">
      <c r="A27">
        <v>101</v>
      </c>
      <c r="B27">
        <v>34.905252527751998</v>
      </c>
      <c r="C27">
        <v>32.187121118111001</v>
      </c>
      <c r="D27" t="s">
        <v>180</v>
      </c>
      <c r="E27" t="s">
        <v>181</v>
      </c>
      <c r="F27" t="s">
        <v>182</v>
      </c>
      <c r="G27" t="s">
        <v>183</v>
      </c>
      <c r="H27" t="s">
        <v>184</v>
      </c>
      <c r="I27" t="s">
        <v>68</v>
      </c>
      <c r="J27" t="s">
        <v>69</v>
      </c>
      <c r="K27" t="s">
        <v>69</v>
      </c>
      <c r="L27" t="s">
        <v>167</v>
      </c>
      <c r="M27" t="s">
        <v>71</v>
      </c>
      <c r="N27">
        <v>20150.98</v>
      </c>
      <c r="O27">
        <v>9250.6499999999905</v>
      </c>
      <c r="P27">
        <v>0.45906700319289601</v>
      </c>
      <c r="Q27">
        <v>3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14890.471788144499</v>
      </c>
      <c r="Z27">
        <v>3854.5900341381898</v>
      </c>
      <c r="AA27">
        <v>23279.198124079401</v>
      </c>
      <c r="AB27">
        <v>10596.6991399456</v>
      </c>
      <c r="AC27">
        <v>16037.942536085</v>
      </c>
      <c r="AD27">
        <v>13007.1936191801</v>
      </c>
      <c r="AE27">
        <v>54207.612448309003</v>
      </c>
      <c r="AF27">
        <v>27458.482793263898</v>
      </c>
      <c r="AG27">
        <v>0</v>
      </c>
      <c r="AH27">
        <v>2</v>
      </c>
      <c r="AI27">
        <v>0</v>
      </c>
      <c r="AJ27">
        <v>2</v>
      </c>
      <c r="AK27">
        <v>18.7</v>
      </c>
      <c r="AL27">
        <v>0</v>
      </c>
      <c r="AM27" t="s">
        <v>121</v>
      </c>
      <c r="AN27" t="b">
        <v>0</v>
      </c>
      <c r="AO27" t="s">
        <v>121</v>
      </c>
      <c r="AP27">
        <v>0</v>
      </c>
      <c r="AQ27">
        <v>1</v>
      </c>
      <c r="AR27">
        <v>1.2715118272197401</v>
      </c>
      <c r="AS27">
        <v>1</v>
      </c>
      <c r="AT27">
        <v>6.9197909818916097</v>
      </c>
      <c r="AU27">
        <v>3.3173664065419701</v>
      </c>
      <c r="AV27">
        <v>2.9268411181061</v>
      </c>
      <c r="AW2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16</v>
      </c>
      <c r="AX2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7</v>
      </c>
      <c r="AY27">
        <v>4</v>
      </c>
      <c r="AZ27">
        <v>4</v>
      </c>
      <c r="BA27">
        <v>2.9268411181061</v>
      </c>
      <c r="BB27">
        <v>85</v>
      </c>
      <c r="BC27">
        <v>16</v>
      </c>
      <c r="BD27">
        <v>4.3042961719780104</v>
      </c>
      <c r="BE27">
        <v>48857.786517300003</v>
      </c>
      <c r="BF27" t="s">
        <v>185</v>
      </c>
      <c r="BG27" t="s">
        <v>186</v>
      </c>
      <c r="BH27">
        <f>SUMPRODUCT(Results[[#This Row],[RegionLocation_Norm]:[PopEmp_Score_Norm]],[1]דירוג!$C$4:$G$4)</f>
        <v>4.2233537250300728</v>
      </c>
      <c r="BI2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13</v>
      </c>
      <c r="BJ2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10</v>
      </c>
      <c r="BK2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11</v>
      </c>
    </row>
    <row r="28" spans="1:63" x14ac:dyDescent="0.2">
      <c r="A28">
        <v>111</v>
      </c>
      <c r="B28">
        <v>34.853451486266998</v>
      </c>
      <c r="C28">
        <v>32.181685186548997</v>
      </c>
      <c r="D28" t="s">
        <v>187</v>
      </c>
      <c r="E28" t="s">
        <v>188</v>
      </c>
      <c r="F28" t="s">
        <v>189</v>
      </c>
      <c r="G28" t="s">
        <v>190</v>
      </c>
      <c r="H28" t="s">
        <v>191</v>
      </c>
      <c r="I28" t="s">
        <v>68</v>
      </c>
      <c r="J28" t="s">
        <v>69</v>
      </c>
      <c r="K28" t="s">
        <v>69</v>
      </c>
      <c r="L28" t="s">
        <v>192</v>
      </c>
      <c r="M28" t="s">
        <v>71</v>
      </c>
      <c r="N28">
        <v>45735.81</v>
      </c>
      <c r="O28">
        <v>45169.66</v>
      </c>
      <c r="P28">
        <v>0.98762129718485303</v>
      </c>
      <c r="Q28">
        <v>2</v>
      </c>
      <c r="R28">
        <v>0</v>
      </c>
      <c r="S28">
        <v>0</v>
      </c>
      <c r="T28">
        <v>0</v>
      </c>
      <c r="U28">
        <v>0</v>
      </c>
      <c r="V28">
        <v>0</v>
      </c>
      <c r="W28">
        <v>2</v>
      </c>
      <c r="X28">
        <v>0</v>
      </c>
      <c r="Y28">
        <v>11565.1112152354</v>
      </c>
      <c r="Z28">
        <v>3533.2510118136702</v>
      </c>
      <c r="AA28">
        <v>19330.510681771801</v>
      </c>
      <c r="AB28">
        <v>6647.3432106793398</v>
      </c>
      <c r="AC28">
        <v>14062.021372225399</v>
      </c>
      <c r="AD28">
        <v>4724.1185364081903</v>
      </c>
      <c r="AE28">
        <v>44957.643269232802</v>
      </c>
      <c r="AF28">
        <v>14904.7127589012</v>
      </c>
      <c r="AG28">
        <v>0</v>
      </c>
      <c r="AH28">
        <v>2</v>
      </c>
      <c r="AI28">
        <v>0</v>
      </c>
      <c r="AJ28">
        <v>2</v>
      </c>
      <c r="AK28">
        <v>22</v>
      </c>
      <c r="AL28">
        <v>3</v>
      </c>
      <c r="AM28" t="s">
        <v>104</v>
      </c>
      <c r="AN28" t="b">
        <v>0</v>
      </c>
      <c r="AO28" t="s">
        <v>104</v>
      </c>
      <c r="AP28">
        <v>3</v>
      </c>
      <c r="AQ28">
        <v>1</v>
      </c>
      <c r="AR28">
        <v>1.37332876242715</v>
      </c>
      <c r="AS28">
        <v>10</v>
      </c>
      <c r="AT28">
        <v>5.8224422267741298</v>
      </c>
      <c r="AU28">
        <v>1.97321287966628</v>
      </c>
      <c r="AV28">
        <v>3.9792499431601001</v>
      </c>
      <c r="AW2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17</v>
      </c>
      <c r="AX2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10</v>
      </c>
      <c r="AY28">
        <v>4</v>
      </c>
      <c r="AZ28">
        <v>4</v>
      </c>
      <c r="BA28">
        <v>3.9792499431601001</v>
      </c>
      <c r="BB28">
        <v>43</v>
      </c>
      <c r="BC28">
        <v>16</v>
      </c>
      <c r="BD28">
        <v>4.6602563750230104</v>
      </c>
      <c r="BE28">
        <v>20915.298860967501</v>
      </c>
      <c r="BF28" t="s">
        <v>193</v>
      </c>
      <c r="BG28" t="s">
        <v>194</v>
      </c>
      <c r="BH28">
        <f>SUMPRODUCT(Results[[#This Row],[RegionLocation_Norm]:[PopEmp_Score_Norm]],[1]דירוג!$C$4:$G$4)</f>
        <v>4.0795760692894039</v>
      </c>
      <c r="BI2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26</v>
      </c>
      <c r="BJ2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22</v>
      </c>
      <c r="BK2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28</v>
      </c>
    </row>
    <row r="29" spans="1:63" x14ac:dyDescent="0.2">
      <c r="A29">
        <v>113</v>
      </c>
      <c r="B29">
        <v>34.948899020212302</v>
      </c>
      <c r="C29">
        <v>32.230239787635902</v>
      </c>
      <c r="D29" t="s">
        <v>195</v>
      </c>
      <c r="E29" t="s">
        <v>196</v>
      </c>
      <c r="F29" t="s">
        <v>65</v>
      </c>
      <c r="G29" t="s">
        <v>66</v>
      </c>
      <c r="H29" t="s">
        <v>67</v>
      </c>
      <c r="I29" t="s">
        <v>68</v>
      </c>
      <c r="J29" t="s">
        <v>69</v>
      </c>
      <c r="K29" t="s">
        <v>69</v>
      </c>
      <c r="L29" t="s">
        <v>70</v>
      </c>
      <c r="M29" t="s">
        <v>71</v>
      </c>
      <c r="N29">
        <v>4421.8</v>
      </c>
      <c r="O29">
        <v>652.07999999999902</v>
      </c>
      <c r="P29">
        <v>0.14746935637070799</v>
      </c>
      <c r="Q29">
        <v>1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7550.4750436231698</v>
      </c>
      <c r="Z29">
        <v>1278.56172816516</v>
      </c>
      <c r="AA29">
        <v>8454.2563220258908</v>
      </c>
      <c r="AB29">
        <v>1470.03820575795</v>
      </c>
      <c r="AC29">
        <v>4604.0271144847102</v>
      </c>
      <c r="AD29">
        <v>819.06525484854399</v>
      </c>
      <c r="AE29">
        <v>20608.7584801337</v>
      </c>
      <c r="AF29">
        <v>3567.6651887716598</v>
      </c>
      <c r="AG29">
        <v>0</v>
      </c>
      <c r="AH29">
        <v>2</v>
      </c>
      <c r="AI29">
        <v>0</v>
      </c>
      <c r="AJ29">
        <v>2</v>
      </c>
      <c r="AK29">
        <v>9.9</v>
      </c>
      <c r="AL29">
        <v>0</v>
      </c>
      <c r="AM29" t="s">
        <v>72</v>
      </c>
      <c r="AN29" t="b">
        <v>0</v>
      </c>
      <c r="AO29" t="s">
        <v>72</v>
      </c>
      <c r="AP29">
        <v>0</v>
      </c>
      <c r="AQ29">
        <v>1</v>
      </c>
      <c r="AR29">
        <v>1</v>
      </c>
      <c r="AS29">
        <v>1</v>
      </c>
      <c r="AT29">
        <v>4.3515156023738699</v>
      </c>
      <c r="AU29">
        <v>1.3026672187360899</v>
      </c>
      <c r="AV29">
        <v>3.5218626541962998</v>
      </c>
      <c r="AW2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13</v>
      </c>
      <c r="AX2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13</v>
      </c>
      <c r="AY29">
        <v>2</v>
      </c>
      <c r="AZ29">
        <v>2</v>
      </c>
      <c r="BA29">
        <v>3.5218626541962998</v>
      </c>
      <c r="BB29">
        <v>55</v>
      </c>
      <c r="BC29">
        <v>13</v>
      </c>
      <c r="BD29">
        <v>3.64559909535244</v>
      </c>
      <c r="BE29">
        <v>6975.8838470440796</v>
      </c>
      <c r="BF29" t="s">
        <v>73</v>
      </c>
      <c r="BG29" t="s">
        <v>197</v>
      </c>
      <c r="BH29">
        <f>SUMPRODUCT(Results[[#This Row],[RegionLocation_Norm]:[PopEmp_Score_Norm]],[1]דירוג!$C$4:$G$4)</f>
        <v>2.6420952013390262</v>
      </c>
      <c r="BI2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14</v>
      </c>
      <c r="BJ2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14</v>
      </c>
      <c r="BK2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11</v>
      </c>
    </row>
    <row r="30" spans="1:63" x14ac:dyDescent="0.2">
      <c r="A30">
        <v>114</v>
      </c>
      <c r="B30">
        <v>34.9366105909601</v>
      </c>
      <c r="C30">
        <v>32.220849752516102</v>
      </c>
      <c r="D30" t="s">
        <v>198</v>
      </c>
      <c r="E30" t="s">
        <v>199</v>
      </c>
      <c r="F30" t="s">
        <v>65</v>
      </c>
      <c r="G30" t="s">
        <v>66</v>
      </c>
      <c r="H30" t="s">
        <v>67</v>
      </c>
      <c r="I30" t="s">
        <v>68</v>
      </c>
      <c r="J30" t="s">
        <v>69</v>
      </c>
      <c r="K30" t="s">
        <v>69</v>
      </c>
      <c r="L30" t="s">
        <v>70</v>
      </c>
      <c r="M30" t="s">
        <v>71</v>
      </c>
      <c r="N30">
        <v>1253.05</v>
      </c>
      <c r="O30" s="1">
        <v>3.1220000000000003E-5</v>
      </c>
      <c r="P30" s="1">
        <v>2.4915206895175701E-8</v>
      </c>
      <c r="Q30">
        <v>1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775.15219841521196</v>
      </c>
      <c r="Z30">
        <v>258.73463971152398</v>
      </c>
      <c r="AA30">
        <v>2133.1412960125799</v>
      </c>
      <c r="AB30">
        <v>554.38193716598903</v>
      </c>
      <c r="AC30">
        <v>2594.5530829151298</v>
      </c>
      <c r="AD30">
        <v>537.12634190222502</v>
      </c>
      <c r="AE30">
        <v>5502.8465773429298</v>
      </c>
      <c r="AF30">
        <v>1350.24291877973</v>
      </c>
      <c r="AG30">
        <v>0</v>
      </c>
      <c r="AH30">
        <v>2</v>
      </c>
      <c r="AI30">
        <v>0</v>
      </c>
      <c r="AJ30">
        <v>2</v>
      </c>
      <c r="AK30">
        <v>9.9</v>
      </c>
      <c r="AL30">
        <v>0</v>
      </c>
      <c r="AM30" t="s">
        <v>72</v>
      </c>
      <c r="AN30" t="b">
        <v>0</v>
      </c>
      <c r="AO30" t="s">
        <v>72</v>
      </c>
      <c r="AP30">
        <v>0</v>
      </c>
      <c r="AQ30">
        <v>1</v>
      </c>
      <c r="AR30">
        <v>1</v>
      </c>
      <c r="AS30">
        <v>1</v>
      </c>
      <c r="AT30">
        <v>1</v>
      </c>
      <c r="AU30">
        <v>1.0720013666738</v>
      </c>
      <c r="AV30">
        <v>1.9718238286084999</v>
      </c>
      <c r="AW3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27</v>
      </c>
      <c r="AX3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27</v>
      </c>
      <c r="AY30">
        <v>2</v>
      </c>
      <c r="AZ30">
        <v>2</v>
      </c>
      <c r="BA30">
        <v>1.9718238286084999</v>
      </c>
      <c r="BB30">
        <v>123</v>
      </c>
      <c r="BC30">
        <v>27</v>
      </c>
      <c r="BD30">
        <v>3.0979684008352102</v>
      </c>
      <c r="BE30">
        <v>2180.7636504923698</v>
      </c>
      <c r="BF30" t="s">
        <v>73</v>
      </c>
      <c r="BG30" t="s">
        <v>200</v>
      </c>
      <c r="BH30">
        <f>SUMPRODUCT(Results[[#This Row],[RegionLocation_Norm]:[PopEmp_Score_Norm]],[1]דירוג!$C$4:$G$4)</f>
        <v>1.0080081899676583</v>
      </c>
      <c r="BI3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27</v>
      </c>
      <c r="BJ3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27</v>
      </c>
      <c r="BK3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27</v>
      </c>
    </row>
    <row r="31" spans="1:63" x14ac:dyDescent="0.2">
      <c r="A31">
        <v>116</v>
      </c>
      <c r="B31">
        <v>34.889961653933497</v>
      </c>
      <c r="C31">
        <v>32.143750918579798</v>
      </c>
      <c r="D31" t="s">
        <v>201</v>
      </c>
      <c r="E31" t="s">
        <v>202</v>
      </c>
      <c r="F31" t="s">
        <v>189</v>
      </c>
      <c r="G31" t="s">
        <v>190</v>
      </c>
      <c r="H31" t="s">
        <v>203</v>
      </c>
      <c r="I31" t="s">
        <v>68</v>
      </c>
      <c r="J31" t="s">
        <v>69</v>
      </c>
      <c r="K31" t="s">
        <v>69</v>
      </c>
      <c r="L31" t="s">
        <v>167</v>
      </c>
      <c r="M31" t="s">
        <v>71</v>
      </c>
      <c r="N31">
        <v>8184.44</v>
      </c>
      <c r="O31">
        <v>3227.74</v>
      </c>
      <c r="P31">
        <v>0.39437518022002699</v>
      </c>
      <c r="Q31">
        <v>2</v>
      </c>
      <c r="R31">
        <v>0</v>
      </c>
      <c r="S31">
        <v>0</v>
      </c>
      <c r="T31">
        <v>0</v>
      </c>
      <c r="U31">
        <v>0</v>
      </c>
      <c r="V31">
        <v>0</v>
      </c>
      <c r="W31">
        <v>2</v>
      </c>
      <c r="X31">
        <v>0</v>
      </c>
      <c r="Y31">
        <v>9545.8263686148093</v>
      </c>
      <c r="Z31">
        <v>3213.7520820206</v>
      </c>
      <c r="AA31">
        <v>19853.866169072899</v>
      </c>
      <c r="AB31">
        <v>6701.76468687539</v>
      </c>
      <c r="AC31">
        <v>13151.812825033299</v>
      </c>
      <c r="AD31">
        <v>5325.4049062396598</v>
      </c>
      <c r="AE31">
        <v>42551.505362721</v>
      </c>
      <c r="AF31">
        <v>15240.9216751356</v>
      </c>
      <c r="AG31">
        <v>0</v>
      </c>
      <c r="AH31">
        <v>2</v>
      </c>
      <c r="AI31">
        <v>0</v>
      </c>
      <c r="AJ31">
        <v>2</v>
      </c>
      <c r="AK31">
        <v>22</v>
      </c>
      <c r="AL31">
        <v>0</v>
      </c>
      <c r="AM31" t="s">
        <v>104</v>
      </c>
      <c r="AN31" t="b">
        <v>0</v>
      </c>
      <c r="AO31" t="s">
        <v>104</v>
      </c>
      <c r="AP31">
        <v>0</v>
      </c>
      <c r="AQ31">
        <v>1</v>
      </c>
      <c r="AR31">
        <v>1.37332876242715</v>
      </c>
      <c r="AS31">
        <v>1</v>
      </c>
      <c r="AT31">
        <v>2.0290926985492899</v>
      </c>
      <c r="AU31">
        <v>1.9630022415252699</v>
      </c>
      <c r="AV31">
        <v>1.41352574916273</v>
      </c>
      <c r="AW3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54</v>
      </c>
      <c r="AX3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42</v>
      </c>
      <c r="AY31">
        <v>4</v>
      </c>
      <c r="AZ31">
        <v>4</v>
      </c>
      <c r="BA31">
        <v>1.41352574916273</v>
      </c>
      <c r="BB31">
        <v>129</v>
      </c>
      <c r="BC31">
        <v>57</v>
      </c>
      <c r="BD31">
        <v>3.91298896924215</v>
      </c>
      <c r="BE31">
        <v>20703.038412652699</v>
      </c>
      <c r="BF31" t="s">
        <v>204</v>
      </c>
      <c r="BG31" t="s">
        <v>205</v>
      </c>
      <c r="BH31">
        <f>SUMPRODUCT(Results[[#This Row],[RegionLocation_Norm]:[PopEmp_Score_Norm]],[1]דירוג!$C$4:$G$4)</f>
        <v>1.7249357160963308</v>
      </c>
      <c r="BI3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54</v>
      </c>
      <c r="BJ3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42</v>
      </c>
      <c r="BK3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51</v>
      </c>
    </row>
    <row r="32" spans="1:63" x14ac:dyDescent="0.2">
      <c r="A32">
        <v>117</v>
      </c>
      <c r="B32">
        <v>34.878285434310499</v>
      </c>
      <c r="C32">
        <v>32.145233387543698</v>
      </c>
      <c r="D32" t="s">
        <v>206</v>
      </c>
      <c r="E32" t="s">
        <v>207</v>
      </c>
      <c r="F32" t="s">
        <v>189</v>
      </c>
      <c r="G32" t="s">
        <v>190</v>
      </c>
      <c r="H32" t="s">
        <v>203</v>
      </c>
      <c r="I32" t="s">
        <v>68</v>
      </c>
      <c r="J32" t="s">
        <v>69</v>
      </c>
      <c r="K32" t="s">
        <v>69</v>
      </c>
      <c r="L32" t="s">
        <v>167</v>
      </c>
      <c r="M32" t="s">
        <v>71</v>
      </c>
      <c r="N32">
        <v>26910.39</v>
      </c>
      <c r="O32">
        <v>1988.76</v>
      </c>
      <c r="P32">
        <v>7.3903053801895796E-2</v>
      </c>
      <c r="Q32">
        <v>2</v>
      </c>
      <c r="R32">
        <v>0</v>
      </c>
      <c r="S32">
        <v>0</v>
      </c>
      <c r="T32">
        <v>0</v>
      </c>
      <c r="U32">
        <v>0</v>
      </c>
      <c r="V32">
        <v>0</v>
      </c>
      <c r="W32">
        <v>2</v>
      </c>
      <c r="X32">
        <v>0</v>
      </c>
      <c r="Y32">
        <v>12081.3562451295</v>
      </c>
      <c r="Z32">
        <v>4201.3314678306497</v>
      </c>
      <c r="AA32">
        <v>16692.082176993699</v>
      </c>
      <c r="AB32">
        <v>6868.1252827081698</v>
      </c>
      <c r="AC32">
        <v>10914.3971589268</v>
      </c>
      <c r="AD32">
        <v>4683.5148891293002</v>
      </c>
      <c r="AE32">
        <v>39687.835581050102</v>
      </c>
      <c r="AF32">
        <v>15752.9716396681</v>
      </c>
      <c r="AG32">
        <v>0</v>
      </c>
      <c r="AH32">
        <v>2</v>
      </c>
      <c r="AI32">
        <v>0</v>
      </c>
      <c r="AJ32">
        <v>2</v>
      </c>
      <c r="AK32">
        <v>22</v>
      </c>
      <c r="AL32">
        <v>0</v>
      </c>
      <c r="AM32" t="s">
        <v>104</v>
      </c>
      <c r="AN32" t="b">
        <v>0</v>
      </c>
      <c r="AO32" t="s">
        <v>104</v>
      </c>
      <c r="AP32">
        <v>0</v>
      </c>
      <c r="AQ32">
        <v>1</v>
      </c>
      <c r="AR32">
        <v>1.37332876242715</v>
      </c>
      <c r="AS32">
        <v>1</v>
      </c>
      <c r="AT32">
        <v>4.65318687893354</v>
      </c>
      <c r="AU32">
        <v>1.95515672120317</v>
      </c>
      <c r="AV32">
        <v>1.96583804530546</v>
      </c>
      <c r="AW3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51</v>
      </c>
      <c r="AX3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39</v>
      </c>
      <c r="AY32">
        <v>4</v>
      </c>
      <c r="AZ32">
        <v>4</v>
      </c>
      <c r="BA32">
        <v>1.96583804530546</v>
      </c>
      <c r="BB32">
        <v>124</v>
      </c>
      <c r="BC32">
        <v>53</v>
      </c>
      <c r="BD32">
        <v>4.4299199918410697</v>
      </c>
      <c r="BE32">
        <v>20539.944427944502</v>
      </c>
      <c r="BF32" t="s">
        <v>204</v>
      </c>
      <c r="BG32" t="s">
        <v>208</v>
      </c>
      <c r="BH32">
        <f>SUMPRODUCT(Results[[#This Row],[RegionLocation_Norm]:[PopEmp_Score_Norm]],[1]דירוג!$C$4:$G$4)</f>
        <v>2.9781622069952309</v>
      </c>
      <c r="BI3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43</v>
      </c>
      <c r="BJ3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34</v>
      </c>
      <c r="BK3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39</v>
      </c>
    </row>
    <row r="33" spans="1:63" x14ac:dyDescent="0.2">
      <c r="A33">
        <v>118</v>
      </c>
      <c r="B33">
        <v>34.894294871341003</v>
      </c>
      <c r="C33">
        <v>32.156689707468502</v>
      </c>
      <c r="D33" t="s">
        <v>209</v>
      </c>
      <c r="E33" t="s">
        <v>210</v>
      </c>
      <c r="F33" t="s">
        <v>211</v>
      </c>
      <c r="G33" t="s">
        <v>212</v>
      </c>
      <c r="H33" t="s">
        <v>213</v>
      </c>
      <c r="I33" t="s">
        <v>68</v>
      </c>
      <c r="J33" t="s">
        <v>69</v>
      </c>
      <c r="K33" t="s">
        <v>69</v>
      </c>
      <c r="L33" t="s">
        <v>167</v>
      </c>
      <c r="M33" t="s">
        <v>71</v>
      </c>
      <c r="N33">
        <v>55884.65</v>
      </c>
      <c r="O33">
        <v>17990.57</v>
      </c>
      <c r="P33">
        <v>0.321923283048207</v>
      </c>
      <c r="Q33">
        <v>0</v>
      </c>
      <c r="R33">
        <v>0</v>
      </c>
      <c r="S33">
        <v>0</v>
      </c>
      <c r="T33">
        <v>0</v>
      </c>
      <c r="U33">
        <v>0</v>
      </c>
      <c r="V33">
        <v>2</v>
      </c>
      <c r="W33">
        <v>2</v>
      </c>
      <c r="X33">
        <v>0</v>
      </c>
      <c r="Y33">
        <v>16072.4858690895</v>
      </c>
      <c r="Z33">
        <v>5624.1793589239696</v>
      </c>
      <c r="AA33">
        <v>24420.1638058807</v>
      </c>
      <c r="AB33">
        <v>8491.7031219175096</v>
      </c>
      <c r="AC33">
        <v>15286.5258128352</v>
      </c>
      <c r="AD33">
        <v>5408.6905649734999</v>
      </c>
      <c r="AE33">
        <v>55779.1754878055</v>
      </c>
      <c r="AF33">
        <v>19524.573045814901</v>
      </c>
      <c r="AG33">
        <v>0</v>
      </c>
      <c r="AH33">
        <v>2</v>
      </c>
      <c r="AI33">
        <v>0</v>
      </c>
      <c r="AJ33">
        <v>2</v>
      </c>
      <c r="AK33">
        <v>24.2</v>
      </c>
      <c r="AL33">
        <v>0</v>
      </c>
      <c r="AM33" t="s">
        <v>104</v>
      </c>
      <c r="AN33" t="b">
        <v>0</v>
      </c>
      <c r="AO33" t="s">
        <v>104</v>
      </c>
      <c r="AP33">
        <v>0</v>
      </c>
      <c r="AQ33">
        <v>1</v>
      </c>
      <c r="AR33">
        <v>1.4412067192320801</v>
      </c>
      <c r="AS33">
        <v>1</v>
      </c>
      <c r="AT33">
        <v>6.2642634210279597</v>
      </c>
      <c r="AU33">
        <v>2.2551133831254302</v>
      </c>
      <c r="AV33">
        <v>2.3746243266655398</v>
      </c>
      <c r="AW3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45</v>
      </c>
      <c r="AX3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33</v>
      </c>
      <c r="AY33">
        <v>4</v>
      </c>
      <c r="AZ33">
        <v>4</v>
      </c>
      <c r="BA33">
        <v>2.3746243266655398</v>
      </c>
      <c r="BB33">
        <v>111</v>
      </c>
      <c r="BC33">
        <v>47</v>
      </c>
      <c r="BD33">
        <v>4.7472925353326403</v>
      </c>
      <c r="BE33">
        <v>26775.493534213001</v>
      </c>
      <c r="BF33" t="s">
        <v>214</v>
      </c>
      <c r="BG33" t="s">
        <v>215</v>
      </c>
      <c r="BH33">
        <f>SUMPRODUCT(Results[[#This Row],[RegionLocation_Norm]:[PopEmp_Score_Norm]],[1]דירוג!$C$4:$G$4)</f>
        <v>3.8083456964176934</v>
      </c>
      <c r="BI3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32</v>
      </c>
      <c r="BJ3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27</v>
      </c>
      <c r="BK3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21</v>
      </c>
    </row>
    <row r="34" spans="1:63" x14ac:dyDescent="0.2">
      <c r="A34">
        <v>119</v>
      </c>
      <c r="B34">
        <v>34.8950170226978</v>
      </c>
      <c r="C34">
        <v>32.1452164343928</v>
      </c>
      <c r="D34" t="s">
        <v>216</v>
      </c>
      <c r="E34" t="s">
        <v>217</v>
      </c>
      <c r="F34" t="s">
        <v>65</v>
      </c>
      <c r="G34" t="s">
        <v>66</v>
      </c>
      <c r="H34" t="s">
        <v>218</v>
      </c>
      <c r="I34" t="s">
        <v>68</v>
      </c>
      <c r="J34" t="s">
        <v>69</v>
      </c>
      <c r="K34" t="s">
        <v>69</v>
      </c>
      <c r="L34" t="s">
        <v>70</v>
      </c>
      <c r="M34" t="s">
        <v>71</v>
      </c>
      <c r="N34">
        <v>21542.92</v>
      </c>
      <c r="O34">
        <v>19388.87</v>
      </c>
      <c r="P34">
        <v>0.90001123338897404</v>
      </c>
      <c r="Q34">
        <v>1.5</v>
      </c>
      <c r="R34">
        <v>0</v>
      </c>
      <c r="S34">
        <v>0</v>
      </c>
      <c r="T34">
        <v>0</v>
      </c>
      <c r="U34">
        <v>0</v>
      </c>
      <c r="V34">
        <v>1.5</v>
      </c>
      <c r="W34">
        <v>0</v>
      </c>
      <c r="X34">
        <v>0</v>
      </c>
      <c r="Y34">
        <v>9460.7629671491504</v>
      </c>
      <c r="Z34">
        <v>3187.5087453030601</v>
      </c>
      <c r="AA34">
        <v>19569.906428212998</v>
      </c>
      <c r="AB34">
        <v>6525.1248296366703</v>
      </c>
      <c r="AC34">
        <v>12865.418792501699</v>
      </c>
      <c r="AD34">
        <v>4767.3629395956996</v>
      </c>
      <c r="AE34">
        <v>41896.088187863897</v>
      </c>
      <c r="AF34">
        <v>14479.9965145354</v>
      </c>
      <c r="AG34">
        <v>0</v>
      </c>
      <c r="AH34">
        <v>2</v>
      </c>
      <c r="AI34">
        <v>0</v>
      </c>
      <c r="AJ34">
        <v>2</v>
      </c>
      <c r="AK34">
        <v>14.85</v>
      </c>
      <c r="AL34">
        <v>0</v>
      </c>
      <c r="AM34" t="s">
        <v>121</v>
      </c>
      <c r="AN34" t="b">
        <v>0</v>
      </c>
      <c r="AO34" t="s">
        <v>121</v>
      </c>
      <c r="AP34">
        <v>0</v>
      </c>
      <c r="AQ34">
        <v>1</v>
      </c>
      <c r="AR34">
        <v>1.1527254028111</v>
      </c>
      <c r="AS34">
        <v>1</v>
      </c>
      <c r="AT34">
        <v>7.0619918865717697</v>
      </c>
      <c r="AU34">
        <v>2.71871252749354</v>
      </c>
      <c r="AV34">
        <v>2.6767120335296801</v>
      </c>
      <c r="AW3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22</v>
      </c>
      <c r="AX3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12</v>
      </c>
      <c r="AY34">
        <v>3</v>
      </c>
      <c r="AZ34">
        <v>3</v>
      </c>
      <c r="BA34">
        <v>2.6767120335296801</v>
      </c>
      <c r="BB34">
        <v>99</v>
      </c>
      <c r="BC34">
        <v>22</v>
      </c>
      <c r="BD34">
        <v>4.3333045686898704</v>
      </c>
      <c r="BE34">
        <v>36412.869853198201</v>
      </c>
      <c r="BF34" t="s">
        <v>219</v>
      </c>
      <c r="BG34" t="s">
        <v>220</v>
      </c>
      <c r="BH34">
        <f>SUMPRODUCT(Results[[#This Row],[RegionLocation_Norm]:[PopEmp_Score_Norm]],[1]דירוג!$C$4:$G$4)</f>
        <v>4.1759217472647157</v>
      </c>
      <c r="BI3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14</v>
      </c>
      <c r="BJ3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11</v>
      </c>
      <c r="BK3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10</v>
      </c>
    </row>
    <row r="35" spans="1:63" x14ac:dyDescent="0.2">
      <c r="A35">
        <v>123</v>
      </c>
      <c r="B35">
        <v>34.864039903334898</v>
      </c>
      <c r="C35">
        <v>32.146618991440903</v>
      </c>
      <c r="D35" t="s">
        <v>221</v>
      </c>
      <c r="E35" t="s">
        <v>222</v>
      </c>
      <c r="F35" t="s">
        <v>189</v>
      </c>
      <c r="G35" t="s">
        <v>190</v>
      </c>
      <c r="H35" t="s">
        <v>203</v>
      </c>
      <c r="I35" t="s">
        <v>68</v>
      </c>
      <c r="J35" t="s">
        <v>69</v>
      </c>
      <c r="K35" t="s">
        <v>69</v>
      </c>
      <c r="L35" t="s">
        <v>167</v>
      </c>
      <c r="M35" t="s">
        <v>71</v>
      </c>
      <c r="N35">
        <v>8636.11</v>
      </c>
      <c r="O35">
        <v>1361.34</v>
      </c>
      <c r="P35">
        <v>0.15763347155142701</v>
      </c>
      <c r="Q35">
        <v>2</v>
      </c>
      <c r="R35">
        <v>0</v>
      </c>
      <c r="S35">
        <v>0</v>
      </c>
      <c r="T35">
        <v>0</v>
      </c>
      <c r="U35">
        <v>0</v>
      </c>
      <c r="V35">
        <v>0</v>
      </c>
      <c r="W35">
        <v>2</v>
      </c>
      <c r="X35">
        <v>0</v>
      </c>
      <c r="Y35">
        <v>981.37679581013697</v>
      </c>
      <c r="Z35">
        <v>3337.97503991143</v>
      </c>
      <c r="AA35">
        <v>12949.651742903599</v>
      </c>
      <c r="AB35">
        <v>8219.1163630989104</v>
      </c>
      <c r="AC35">
        <v>17147.535021707001</v>
      </c>
      <c r="AD35">
        <v>7197.1481198254096</v>
      </c>
      <c r="AE35">
        <v>31078.563560420698</v>
      </c>
      <c r="AF35">
        <v>18754.239522835702</v>
      </c>
      <c r="AG35">
        <v>0</v>
      </c>
      <c r="AH35">
        <v>2</v>
      </c>
      <c r="AI35">
        <v>0</v>
      </c>
      <c r="AJ35">
        <v>2</v>
      </c>
      <c r="AK35">
        <v>22</v>
      </c>
      <c r="AL35">
        <v>3</v>
      </c>
      <c r="AM35" t="s">
        <v>104</v>
      </c>
      <c r="AN35" t="b">
        <v>0</v>
      </c>
      <c r="AO35" t="s">
        <v>104</v>
      </c>
      <c r="AP35">
        <v>3</v>
      </c>
      <c r="AQ35">
        <v>1</v>
      </c>
      <c r="AR35">
        <v>1.37332876242715</v>
      </c>
      <c r="AS35">
        <v>10</v>
      </c>
      <c r="AT35">
        <v>2.1475185720118501</v>
      </c>
      <c r="AU35">
        <v>1.9878272260401899</v>
      </c>
      <c r="AV35">
        <v>3.19393236858894</v>
      </c>
      <c r="AW3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31</v>
      </c>
      <c r="AX3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21</v>
      </c>
      <c r="AY35">
        <v>4</v>
      </c>
      <c r="AZ35">
        <v>4</v>
      </c>
      <c r="BA35">
        <v>3.19393236858894</v>
      </c>
      <c r="BB35">
        <v>72</v>
      </c>
      <c r="BC35">
        <v>32</v>
      </c>
      <c r="BD35">
        <v>3.9363181654001198</v>
      </c>
      <c r="BE35">
        <v>21219.1043303527</v>
      </c>
      <c r="BF35" t="s">
        <v>204</v>
      </c>
      <c r="BG35" t="s">
        <v>223</v>
      </c>
      <c r="BH35">
        <f>SUMPRODUCT(Results[[#This Row],[RegionLocation_Norm]:[PopEmp_Score_Norm]],[1]דירוג!$C$4:$G$4)</f>
        <v>2.3249939564590085</v>
      </c>
      <c r="BI3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50</v>
      </c>
      <c r="BJ3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39</v>
      </c>
      <c r="BK3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50</v>
      </c>
    </row>
    <row r="36" spans="1:63" x14ac:dyDescent="0.2">
      <c r="A36">
        <v>124</v>
      </c>
      <c r="B36">
        <v>34.853605147549203</v>
      </c>
      <c r="C36">
        <v>32.148784794427399</v>
      </c>
      <c r="D36" t="s">
        <v>224</v>
      </c>
      <c r="E36" t="s">
        <v>225</v>
      </c>
      <c r="F36" t="s">
        <v>189</v>
      </c>
      <c r="G36" t="s">
        <v>190</v>
      </c>
      <c r="H36" t="s">
        <v>203</v>
      </c>
      <c r="I36" t="s">
        <v>68</v>
      </c>
      <c r="J36" t="s">
        <v>69</v>
      </c>
      <c r="K36" t="s">
        <v>69</v>
      </c>
      <c r="L36" t="s">
        <v>192</v>
      </c>
      <c r="M36" t="s">
        <v>71</v>
      </c>
      <c r="N36">
        <v>13736.7</v>
      </c>
      <c r="O36">
        <v>3386.61</v>
      </c>
      <c r="P36">
        <v>0.246537377972875</v>
      </c>
      <c r="Q36">
        <v>2</v>
      </c>
      <c r="R36">
        <v>0</v>
      </c>
      <c r="S36">
        <v>0</v>
      </c>
      <c r="T36">
        <v>0</v>
      </c>
      <c r="U36">
        <v>0</v>
      </c>
      <c r="V36">
        <v>0</v>
      </c>
      <c r="W36">
        <v>2</v>
      </c>
      <c r="X36">
        <v>0</v>
      </c>
      <c r="Y36">
        <v>17275.3405081932</v>
      </c>
      <c r="Z36">
        <v>7285.8085592026</v>
      </c>
      <c r="AA36">
        <v>23854.639170480299</v>
      </c>
      <c r="AB36">
        <v>10739.7277321853</v>
      </c>
      <c r="AC36">
        <v>16006.5797817168</v>
      </c>
      <c r="AD36">
        <v>7202.9926438928096</v>
      </c>
      <c r="AE36">
        <v>57136.559460390403</v>
      </c>
      <c r="AF36">
        <v>25228.528935280701</v>
      </c>
      <c r="AG36">
        <v>0</v>
      </c>
      <c r="AH36">
        <v>2</v>
      </c>
      <c r="AI36">
        <v>0</v>
      </c>
      <c r="AJ36">
        <v>2</v>
      </c>
      <c r="AK36">
        <v>22</v>
      </c>
      <c r="AL36">
        <v>0</v>
      </c>
      <c r="AM36" t="s">
        <v>104</v>
      </c>
      <c r="AN36" t="b">
        <v>0</v>
      </c>
      <c r="AO36" t="s">
        <v>104</v>
      </c>
      <c r="AP36">
        <v>0</v>
      </c>
      <c r="AQ36">
        <v>1</v>
      </c>
      <c r="AR36">
        <v>1.37332876242715</v>
      </c>
      <c r="AS36">
        <v>1</v>
      </c>
      <c r="AT36">
        <v>3.1707180855075401</v>
      </c>
      <c r="AU36">
        <v>2.48768037971913</v>
      </c>
      <c r="AV36">
        <v>1.78318689174755</v>
      </c>
      <c r="AW3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52</v>
      </c>
      <c r="AX3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40</v>
      </c>
      <c r="AY36">
        <v>4</v>
      </c>
      <c r="AZ36">
        <v>4</v>
      </c>
      <c r="BA36">
        <v>1.78318689174755</v>
      </c>
      <c r="BB36">
        <v>127</v>
      </c>
      <c r="BC36">
        <v>55</v>
      </c>
      <c r="BD36">
        <v>4.1378824136606696</v>
      </c>
      <c r="BE36">
        <v>31610.135040302699</v>
      </c>
      <c r="BF36" t="s">
        <v>204</v>
      </c>
      <c r="BG36" t="s">
        <v>226</v>
      </c>
      <c r="BH36">
        <f>SUMPRODUCT(Results[[#This Row],[RegionLocation_Norm]:[PopEmp_Score_Norm]],[1]דירוג!$C$4:$G$4)</f>
        <v>2.3435629122713206</v>
      </c>
      <c r="BI3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48</v>
      </c>
      <c r="BJ3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38</v>
      </c>
      <c r="BK3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46</v>
      </c>
    </row>
    <row r="37" spans="1:63" x14ac:dyDescent="0.2">
      <c r="A37">
        <v>128</v>
      </c>
      <c r="B37">
        <v>34.954146108779099</v>
      </c>
      <c r="C37">
        <v>32.177099093595501</v>
      </c>
      <c r="D37" t="s">
        <v>227</v>
      </c>
      <c r="E37" t="s">
        <v>228</v>
      </c>
      <c r="F37" t="s">
        <v>229</v>
      </c>
      <c r="G37" t="s">
        <v>230</v>
      </c>
      <c r="H37" t="s">
        <v>231</v>
      </c>
      <c r="I37" t="s">
        <v>68</v>
      </c>
      <c r="J37" t="s">
        <v>69</v>
      </c>
      <c r="K37" t="s">
        <v>69</v>
      </c>
      <c r="L37" t="s">
        <v>70</v>
      </c>
      <c r="M37" t="s">
        <v>71</v>
      </c>
      <c r="N37">
        <v>5167.2</v>
      </c>
      <c r="O37">
        <v>2287.4899999999998</v>
      </c>
      <c r="P37">
        <v>0.44269430252360997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2</v>
      </c>
      <c r="X37">
        <v>6</v>
      </c>
      <c r="Y37">
        <v>572.01248206188302</v>
      </c>
      <c r="Z37">
        <v>608.82591548266896</v>
      </c>
      <c r="AA37">
        <v>1732.0756480986799</v>
      </c>
      <c r="AB37">
        <v>2514.2722065927701</v>
      </c>
      <c r="AC37">
        <v>2641.4757092475002</v>
      </c>
      <c r="AD37">
        <v>1514.33131492498</v>
      </c>
      <c r="AE37">
        <v>4945.5638394080697</v>
      </c>
      <c r="AF37">
        <v>4637.42943700043</v>
      </c>
      <c r="AG37">
        <v>0</v>
      </c>
      <c r="AH37">
        <v>2</v>
      </c>
      <c r="AI37">
        <v>0</v>
      </c>
      <c r="AJ37">
        <v>2</v>
      </c>
      <c r="AK37">
        <v>52.8</v>
      </c>
      <c r="AL37">
        <v>0</v>
      </c>
      <c r="AM37" t="s">
        <v>104</v>
      </c>
      <c r="AN37" t="b">
        <v>0</v>
      </c>
      <c r="AO37" t="s">
        <v>104</v>
      </c>
      <c r="AP37">
        <v>0</v>
      </c>
      <c r="AQ37">
        <v>1</v>
      </c>
      <c r="AR37">
        <v>2.3236201576962601</v>
      </c>
      <c r="AS37">
        <v>1</v>
      </c>
      <c r="AT37">
        <v>1.0151855990204901</v>
      </c>
      <c r="AU37">
        <v>1.1931420471912799</v>
      </c>
      <c r="AV37">
        <v>1.38520949780675</v>
      </c>
      <c r="AW3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55</v>
      </c>
      <c r="AX3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43</v>
      </c>
      <c r="AY37">
        <v>8</v>
      </c>
      <c r="AZ37">
        <v>8</v>
      </c>
      <c r="BA37">
        <v>1.38520949780675</v>
      </c>
      <c r="BB37">
        <v>130</v>
      </c>
      <c r="BC37">
        <v>58</v>
      </c>
      <c r="BD37">
        <v>3.7132552715350902</v>
      </c>
      <c r="BE37">
        <v>4699.0563174819599</v>
      </c>
      <c r="BF37" t="s">
        <v>232</v>
      </c>
      <c r="BG37" t="s">
        <v>233</v>
      </c>
      <c r="BH37">
        <f>SUMPRODUCT(Results[[#This Row],[RegionLocation_Norm]:[PopEmp_Score_Norm]],[1]דירוג!$C$4:$G$4)</f>
        <v>1.3908065236270688</v>
      </c>
      <c r="BI3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55</v>
      </c>
      <c r="BJ3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43</v>
      </c>
      <c r="BK3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54</v>
      </c>
    </row>
    <row r="38" spans="1:63" x14ac:dyDescent="0.2">
      <c r="A38">
        <v>129</v>
      </c>
      <c r="B38">
        <v>34.936130608888497</v>
      </c>
      <c r="C38">
        <v>32.177078177803303</v>
      </c>
      <c r="D38" t="s">
        <v>234</v>
      </c>
      <c r="E38" t="s">
        <v>235</v>
      </c>
      <c r="F38" t="s">
        <v>189</v>
      </c>
      <c r="G38" t="s">
        <v>190</v>
      </c>
      <c r="H38" t="s">
        <v>236</v>
      </c>
      <c r="I38" t="s">
        <v>68</v>
      </c>
      <c r="J38" t="s">
        <v>69</v>
      </c>
      <c r="K38" t="s">
        <v>69</v>
      </c>
      <c r="L38" t="s">
        <v>167</v>
      </c>
      <c r="M38" t="s">
        <v>71</v>
      </c>
      <c r="N38">
        <v>19223.73</v>
      </c>
      <c r="O38">
        <v>12575.39</v>
      </c>
      <c r="P38">
        <v>0.65415972862706595</v>
      </c>
      <c r="Q38">
        <v>2</v>
      </c>
      <c r="R38">
        <v>0</v>
      </c>
      <c r="S38">
        <v>0</v>
      </c>
      <c r="T38">
        <v>0</v>
      </c>
      <c r="U38">
        <v>0</v>
      </c>
      <c r="V38">
        <v>0</v>
      </c>
      <c r="W38">
        <v>4</v>
      </c>
      <c r="X38">
        <v>0</v>
      </c>
      <c r="Y38">
        <v>5430.7994607977098</v>
      </c>
      <c r="Z38">
        <v>7288.3569420212798</v>
      </c>
      <c r="AA38">
        <v>9910.5310007718708</v>
      </c>
      <c r="AB38">
        <v>9286.58402767796</v>
      </c>
      <c r="AC38">
        <v>7699.2146080104503</v>
      </c>
      <c r="AD38">
        <v>4399.0948918239601</v>
      </c>
      <c r="AE38">
        <v>23040.545069579999</v>
      </c>
      <c r="AF38">
        <v>20974.0358615232</v>
      </c>
      <c r="AG38">
        <v>0</v>
      </c>
      <c r="AH38">
        <v>2</v>
      </c>
      <c r="AI38">
        <v>0</v>
      </c>
      <c r="AJ38">
        <v>2</v>
      </c>
      <c r="AK38">
        <v>35.200000000000003</v>
      </c>
      <c r="AL38">
        <v>0</v>
      </c>
      <c r="AM38" t="s">
        <v>104</v>
      </c>
      <c r="AN38" t="b">
        <v>0</v>
      </c>
      <c r="AO38" t="s">
        <v>104</v>
      </c>
      <c r="AP38">
        <v>0</v>
      </c>
      <c r="AQ38">
        <v>1</v>
      </c>
      <c r="AR38">
        <v>1.7805965032567701</v>
      </c>
      <c r="AS38">
        <v>1</v>
      </c>
      <c r="AT38">
        <v>3.9116299109076902</v>
      </c>
      <c r="AU38">
        <v>1.9959199729761099</v>
      </c>
      <c r="AV38">
        <v>1.98069132567677</v>
      </c>
      <c r="AW3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50</v>
      </c>
      <c r="AX3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38</v>
      </c>
      <c r="AY38">
        <v>6</v>
      </c>
      <c r="AZ38">
        <v>6</v>
      </c>
      <c r="BA38">
        <v>1.98069132567677</v>
      </c>
      <c r="BB38">
        <v>122</v>
      </c>
      <c r="BC38">
        <v>52</v>
      </c>
      <c r="BD38">
        <v>4.2838376581114002</v>
      </c>
      <c r="BE38">
        <v>21387.337703134501</v>
      </c>
      <c r="BF38" t="s">
        <v>237</v>
      </c>
      <c r="BG38" t="s">
        <v>238</v>
      </c>
      <c r="BH38">
        <f>SUMPRODUCT(Results[[#This Row],[RegionLocation_Norm]:[PopEmp_Score_Norm]],[1]דירוג!$C$4:$G$4)</f>
        <v>2.7397336260401399</v>
      </c>
      <c r="BI3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45</v>
      </c>
      <c r="BJ3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36</v>
      </c>
      <c r="BK3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41</v>
      </c>
    </row>
    <row r="39" spans="1:63" x14ac:dyDescent="0.2">
      <c r="A39">
        <v>143</v>
      </c>
      <c r="B39">
        <v>34.8605503237888</v>
      </c>
      <c r="C39">
        <v>32.262765939969903</v>
      </c>
      <c r="D39" t="s">
        <v>239</v>
      </c>
      <c r="E39" t="s">
        <v>240</v>
      </c>
      <c r="F39" t="s">
        <v>241</v>
      </c>
      <c r="G39" t="s">
        <v>242</v>
      </c>
      <c r="H39" t="s">
        <v>243</v>
      </c>
      <c r="I39" t="s">
        <v>68</v>
      </c>
      <c r="J39" t="s">
        <v>69</v>
      </c>
      <c r="K39" t="s">
        <v>69</v>
      </c>
      <c r="L39" t="s">
        <v>70</v>
      </c>
      <c r="M39" t="s">
        <v>71</v>
      </c>
      <c r="N39">
        <v>28119</v>
      </c>
      <c r="O39">
        <v>12202</v>
      </c>
      <c r="P39">
        <v>0.433941463067676</v>
      </c>
      <c r="Q39">
        <v>0</v>
      </c>
      <c r="R39">
        <v>0</v>
      </c>
      <c r="S39">
        <v>0</v>
      </c>
      <c r="T39">
        <v>0</v>
      </c>
      <c r="U39">
        <v>0</v>
      </c>
      <c r="V39">
        <v>4</v>
      </c>
      <c r="W39">
        <v>0</v>
      </c>
      <c r="X39">
        <v>4</v>
      </c>
      <c r="Y39">
        <v>673.99275554456403</v>
      </c>
      <c r="Z39">
        <v>327.31792231371298</v>
      </c>
      <c r="AA39">
        <v>1438.8958006785599</v>
      </c>
      <c r="AB39">
        <v>666.40335793426198</v>
      </c>
      <c r="AC39">
        <v>1063.2012702822699</v>
      </c>
      <c r="AD39">
        <v>2535.6515912174</v>
      </c>
      <c r="AE39">
        <v>3176.0898265054002</v>
      </c>
      <c r="AF39">
        <v>3529.3728714653698</v>
      </c>
      <c r="AG39">
        <v>0</v>
      </c>
      <c r="AH39">
        <v>2</v>
      </c>
      <c r="AI39">
        <v>0</v>
      </c>
      <c r="AJ39">
        <v>2</v>
      </c>
      <c r="AK39">
        <v>48.4</v>
      </c>
      <c r="AL39">
        <v>2</v>
      </c>
      <c r="AM39" t="s">
        <v>104</v>
      </c>
      <c r="AN39" t="b">
        <v>0</v>
      </c>
      <c r="AO39" t="s">
        <v>104</v>
      </c>
      <c r="AP39">
        <v>2</v>
      </c>
      <c r="AQ39">
        <v>1</v>
      </c>
      <c r="AR39">
        <v>2.18786424408639</v>
      </c>
      <c r="AS39">
        <v>7</v>
      </c>
      <c r="AT39">
        <v>4.7500419710675903</v>
      </c>
      <c r="AU39">
        <v>1.13347636960487</v>
      </c>
      <c r="AV39">
        <v>3.27109899993251</v>
      </c>
      <c r="AW3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29</v>
      </c>
      <c r="AX3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19</v>
      </c>
      <c r="AY39">
        <v>8</v>
      </c>
      <c r="AZ39">
        <v>8</v>
      </c>
      <c r="BA39">
        <v>3.27109899993251</v>
      </c>
      <c r="BB39">
        <v>69</v>
      </c>
      <c r="BC39">
        <v>29</v>
      </c>
      <c r="BD39">
        <v>4.4489998717459196</v>
      </c>
      <c r="BE39">
        <v>3458.7162624733801</v>
      </c>
      <c r="BF39" t="s">
        <v>244</v>
      </c>
      <c r="BG39" t="s">
        <v>245</v>
      </c>
      <c r="BH39">
        <f>SUMPRODUCT(Results[[#This Row],[RegionLocation_Norm]:[PopEmp_Score_Norm]],[1]דירוג!$C$4:$G$4)</f>
        <v>3.4909844876927965</v>
      </c>
      <c r="BI3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40</v>
      </c>
      <c r="BJ3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32</v>
      </c>
      <c r="BK3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38</v>
      </c>
    </row>
    <row r="40" spans="1:63" x14ac:dyDescent="0.2">
      <c r="A40">
        <v>146</v>
      </c>
      <c r="B40">
        <v>34.858564441211598</v>
      </c>
      <c r="C40">
        <v>32.273765018123498</v>
      </c>
      <c r="D40" t="s">
        <v>246</v>
      </c>
      <c r="E40" t="s">
        <v>247</v>
      </c>
      <c r="F40" t="s">
        <v>65</v>
      </c>
      <c r="G40" t="s">
        <v>66</v>
      </c>
      <c r="H40" t="s">
        <v>67</v>
      </c>
      <c r="I40" t="s">
        <v>68</v>
      </c>
      <c r="J40" t="s">
        <v>69</v>
      </c>
      <c r="K40" t="s">
        <v>69</v>
      </c>
      <c r="L40" t="s">
        <v>70</v>
      </c>
      <c r="M40" t="s">
        <v>71</v>
      </c>
      <c r="N40">
        <v>2249.7102052999999</v>
      </c>
      <c r="O40">
        <v>239.4702053</v>
      </c>
      <c r="P40">
        <v>0.10644491220951099</v>
      </c>
      <c r="Q40">
        <v>3</v>
      </c>
      <c r="R40">
        <v>0</v>
      </c>
      <c r="S40">
        <v>0</v>
      </c>
      <c r="T40">
        <v>0</v>
      </c>
      <c r="U40">
        <v>0</v>
      </c>
      <c r="V40">
        <v>3</v>
      </c>
      <c r="W40">
        <v>0</v>
      </c>
      <c r="X40">
        <v>0</v>
      </c>
      <c r="Y40">
        <v>2386.6996274821099</v>
      </c>
      <c r="Z40">
        <v>11617.3851950185</v>
      </c>
      <c r="AA40">
        <v>7008.7929600459602</v>
      </c>
      <c r="AB40">
        <v>9403.4730753006697</v>
      </c>
      <c r="AC40">
        <v>4878.2856526267697</v>
      </c>
      <c r="AD40">
        <v>5168.2956988570304</v>
      </c>
      <c r="AE40">
        <v>14273.778240154799</v>
      </c>
      <c r="AF40">
        <v>26189.153969176201</v>
      </c>
      <c r="AG40">
        <v>0</v>
      </c>
      <c r="AH40">
        <v>2</v>
      </c>
      <c r="AI40">
        <v>0</v>
      </c>
      <c r="AJ40">
        <v>2</v>
      </c>
      <c r="AK40">
        <v>29.7</v>
      </c>
      <c r="AL40">
        <v>0</v>
      </c>
      <c r="AM40" t="s">
        <v>72</v>
      </c>
      <c r="AN40" t="b">
        <v>0</v>
      </c>
      <c r="AO40" t="s">
        <v>72</v>
      </c>
      <c r="AP40">
        <v>0</v>
      </c>
      <c r="AQ40">
        <v>1</v>
      </c>
      <c r="AR40">
        <v>1.6109016112444201</v>
      </c>
      <c r="AS40">
        <v>1</v>
      </c>
      <c r="AT40">
        <v>2.5554553572619301</v>
      </c>
      <c r="AU40">
        <v>2.1122717970281699</v>
      </c>
      <c r="AV40">
        <v>4.7067157259258297</v>
      </c>
      <c r="AW4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6</v>
      </c>
      <c r="AX4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6</v>
      </c>
      <c r="AY40">
        <v>6</v>
      </c>
      <c r="AZ40">
        <v>6</v>
      </c>
      <c r="BA40">
        <v>4.7067157259258297</v>
      </c>
      <c r="BB40">
        <v>27</v>
      </c>
      <c r="BC40">
        <v>6</v>
      </c>
      <c r="BD40">
        <v>3.3521265784025598</v>
      </c>
      <c r="BE40">
        <v>23806.078823371899</v>
      </c>
      <c r="BF40" t="s">
        <v>73</v>
      </c>
      <c r="BG40" t="s">
        <v>248</v>
      </c>
      <c r="BH40">
        <f>SUMPRODUCT(Results[[#This Row],[RegionLocation_Norm]:[PopEmp_Score_Norm]],[1]דירוג!$C$4:$G$4)</f>
        <v>2.061667777205356</v>
      </c>
      <c r="BI4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22</v>
      </c>
      <c r="BJ4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22</v>
      </c>
      <c r="BK4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24</v>
      </c>
    </row>
    <row r="41" spans="1:63" x14ac:dyDescent="0.2">
      <c r="A41">
        <v>149</v>
      </c>
      <c r="B41">
        <v>34.840535789667499</v>
      </c>
      <c r="C41">
        <v>32.273522848241001</v>
      </c>
      <c r="D41" t="s">
        <v>249</v>
      </c>
      <c r="E41" t="s">
        <v>250</v>
      </c>
      <c r="F41" t="s">
        <v>65</v>
      </c>
      <c r="G41" t="s">
        <v>66</v>
      </c>
      <c r="H41" t="s">
        <v>67</v>
      </c>
      <c r="I41" t="s">
        <v>68</v>
      </c>
      <c r="J41" t="s">
        <v>69</v>
      </c>
      <c r="K41" t="s">
        <v>69</v>
      </c>
      <c r="L41" t="s">
        <v>70</v>
      </c>
      <c r="M41" t="s">
        <v>71</v>
      </c>
      <c r="N41">
        <v>3483.97</v>
      </c>
      <c r="O41">
        <v>1.34E-4</v>
      </c>
      <c r="P41" s="1">
        <v>3.8461869648705303E-8</v>
      </c>
      <c r="Q41">
        <v>1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5387.6895487075499</v>
      </c>
      <c r="Z41">
        <v>1379.6402937799901</v>
      </c>
      <c r="AA41">
        <v>7235.2236490344603</v>
      </c>
      <c r="AB41">
        <v>1886.8891936903501</v>
      </c>
      <c r="AC41">
        <v>5517.5743409209099</v>
      </c>
      <c r="AD41">
        <v>1102.5144851492</v>
      </c>
      <c r="AE41">
        <v>18140.487538662899</v>
      </c>
      <c r="AF41">
        <v>4369.04397261955</v>
      </c>
      <c r="AG41">
        <v>0</v>
      </c>
      <c r="AH41">
        <v>2</v>
      </c>
      <c r="AI41">
        <v>0</v>
      </c>
      <c r="AJ41">
        <v>2</v>
      </c>
      <c r="AK41">
        <v>9.9</v>
      </c>
      <c r="AL41">
        <v>0</v>
      </c>
      <c r="AM41" t="s">
        <v>72</v>
      </c>
      <c r="AN41" t="b">
        <v>0</v>
      </c>
      <c r="AO41" t="s">
        <v>72</v>
      </c>
      <c r="AP41">
        <v>0</v>
      </c>
      <c r="AQ41">
        <v>1</v>
      </c>
      <c r="AR41">
        <v>1</v>
      </c>
      <c r="AS41">
        <v>1</v>
      </c>
      <c r="AT41">
        <v>3.71794153005956</v>
      </c>
      <c r="AU41">
        <v>1.3097601404230601</v>
      </c>
      <c r="AV41">
        <v>3.1601380022094099</v>
      </c>
      <c r="AW4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18</v>
      </c>
      <c r="AX4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18</v>
      </c>
      <c r="AY41">
        <v>2</v>
      </c>
      <c r="AZ41">
        <v>2</v>
      </c>
      <c r="BA41">
        <v>3.1601380022094099</v>
      </c>
      <c r="BB41">
        <v>74</v>
      </c>
      <c r="BC41">
        <v>18</v>
      </c>
      <c r="BD41">
        <v>3.5420744066999901</v>
      </c>
      <c r="BE41">
        <v>7123.3326858282298</v>
      </c>
      <c r="BF41" t="s">
        <v>73</v>
      </c>
      <c r="BG41" t="s">
        <v>251</v>
      </c>
      <c r="BH41">
        <f>SUMPRODUCT(Results[[#This Row],[RegionLocation_Norm]:[PopEmp_Score_Norm]],[1]דירוג!$C$4:$G$4)</f>
        <v>2.3402327108872751</v>
      </c>
      <c r="BI4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20</v>
      </c>
      <c r="BJ4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20</v>
      </c>
      <c r="BK4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17</v>
      </c>
    </row>
    <row r="42" spans="1:63" x14ac:dyDescent="0.2">
      <c r="A42">
        <v>150</v>
      </c>
      <c r="B42">
        <v>34.862873041005798</v>
      </c>
      <c r="C42">
        <v>32.287125689603499</v>
      </c>
      <c r="D42" t="s">
        <v>252</v>
      </c>
      <c r="E42" t="s">
        <v>253</v>
      </c>
      <c r="F42" t="s">
        <v>65</v>
      </c>
      <c r="G42" t="s">
        <v>66</v>
      </c>
      <c r="H42" t="s">
        <v>254</v>
      </c>
      <c r="I42" t="s">
        <v>68</v>
      </c>
      <c r="J42" t="s">
        <v>69</v>
      </c>
      <c r="K42" t="s">
        <v>69</v>
      </c>
      <c r="L42" t="s">
        <v>70</v>
      </c>
      <c r="M42" t="s">
        <v>71</v>
      </c>
      <c r="N42">
        <v>19938.18</v>
      </c>
      <c r="O42">
        <v>18031.28</v>
      </c>
      <c r="P42">
        <v>0.90435937482759199</v>
      </c>
      <c r="Q42">
        <v>2</v>
      </c>
      <c r="R42">
        <v>0</v>
      </c>
      <c r="S42">
        <v>0</v>
      </c>
      <c r="T42">
        <v>0</v>
      </c>
      <c r="U42">
        <v>0</v>
      </c>
      <c r="V42">
        <v>2</v>
      </c>
      <c r="W42">
        <v>0</v>
      </c>
      <c r="X42">
        <v>0</v>
      </c>
      <c r="Y42">
        <v>3530.6935585664201</v>
      </c>
      <c r="Z42">
        <v>14315.6127429558</v>
      </c>
      <c r="AA42">
        <v>9867.5940606579406</v>
      </c>
      <c r="AB42">
        <v>15374.3277684484</v>
      </c>
      <c r="AC42">
        <v>8166.0327759188103</v>
      </c>
      <c r="AD42">
        <v>7188.0424528858603</v>
      </c>
      <c r="AE42">
        <v>21564.320395143099</v>
      </c>
      <c r="AF42">
        <v>36877.982964290102</v>
      </c>
      <c r="AG42">
        <v>0</v>
      </c>
      <c r="AH42">
        <v>2</v>
      </c>
      <c r="AI42">
        <v>0</v>
      </c>
      <c r="AJ42">
        <v>2</v>
      </c>
      <c r="AK42">
        <v>19.8</v>
      </c>
      <c r="AL42">
        <v>0</v>
      </c>
      <c r="AM42" t="s">
        <v>121</v>
      </c>
      <c r="AN42" t="b">
        <v>0</v>
      </c>
      <c r="AO42" t="s">
        <v>121</v>
      </c>
      <c r="AP42">
        <v>0</v>
      </c>
      <c r="AQ42">
        <v>1</v>
      </c>
      <c r="AR42">
        <v>1.3054508056222101</v>
      </c>
      <c r="AS42">
        <v>1</v>
      </c>
      <c r="AT42">
        <v>6.89718925168774</v>
      </c>
      <c r="AU42">
        <v>2.1517641724460601</v>
      </c>
      <c r="AV42">
        <v>2.52285986741171</v>
      </c>
      <c r="AW4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25</v>
      </c>
      <c r="AX4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15</v>
      </c>
      <c r="AY42">
        <v>4</v>
      </c>
      <c r="AZ42">
        <v>4</v>
      </c>
      <c r="BA42">
        <v>2.52285986741171</v>
      </c>
      <c r="BB42">
        <v>106</v>
      </c>
      <c r="BC42">
        <v>25</v>
      </c>
      <c r="BD42">
        <v>4.2996855124494804</v>
      </c>
      <c r="BE42">
        <v>24627.052908972499</v>
      </c>
      <c r="BF42" t="s">
        <v>255</v>
      </c>
      <c r="BG42" t="s">
        <v>256</v>
      </c>
      <c r="BH42">
        <f>SUMPRODUCT(Results[[#This Row],[RegionLocation_Norm]:[PopEmp_Score_Norm]],[1]דירוג!$C$4:$G$4)</f>
        <v>4.0597288506003606</v>
      </c>
      <c r="BI4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16</v>
      </c>
      <c r="BJ4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12</v>
      </c>
      <c r="BK4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12</v>
      </c>
    </row>
    <row r="43" spans="1:63" x14ac:dyDescent="0.2">
      <c r="A43">
        <v>155</v>
      </c>
      <c r="B43">
        <v>34.870144740043699</v>
      </c>
      <c r="C43">
        <v>32.2944200986365</v>
      </c>
      <c r="D43" t="s">
        <v>257</v>
      </c>
      <c r="E43" t="s">
        <v>258</v>
      </c>
      <c r="F43" t="s">
        <v>65</v>
      </c>
      <c r="G43" t="s">
        <v>66</v>
      </c>
      <c r="H43" t="s">
        <v>67</v>
      </c>
      <c r="I43" t="s">
        <v>68</v>
      </c>
      <c r="J43" t="s">
        <v>69</v>
      </c>
      <c r="K43" t="s">
        <v>69</v>
      </c>
      <c r="L43" t="s">
        <v>70</v>
      </c>
      <c r="M43" t="s">
        <v>71</v>
      </c>
      <c r="N43">
        <v>11865.45</v>
      </c>
      <c r="O43">
        <v>6537.21</v>
      </c>
      <c r="P43">
        <v>0.55094497048152402</v>
      </c>
      <c r="Q43">
        <v>2</v>
      </c>
      <c r="R43">
        <v>0</v>
      </c>
      <c r="S43">
        <v>0</v>
      </c>
      <c r="T43">
        <v>0</v>
      </c>
      <c r="U43">
        <v>0</v>
      </c>
      <c r="V43">
        <v>2</v>
      </c>
      <c r="W43">
        <v>0</v>
      </c>
      <c r="X43">
        <v>0</v>
      </c>
      <c r="Y43">
        <v>7603.8776439337698</v>
      </c>
      <c r="Z43">
        <v>4530.1894853763697</v>
      </c>
      <c r="AA43">
        <v>11314.631422283701</v>
      </c>
      <c r="AB43">
        <v>9757.6629193426797</v>
      </c>
      <c r="AC43">
        <v>8328.3878003455193</v>
      </c>
      <c r="AD43">
        <v>6586.7882900436398</v>
      </c>
      <c r="AE43">
        <v>27246.896866562998</v>
      </c>
      <c r="AF43">
        <v>20874.640694762598</v>
      </c>
      <c r="AG43">
        <v>0</v>
      </c>
      <c r="AH43">
        <v>2</v>
      </c>
      <c r="AI43">
        <v>0</v>
      </c>
      <c r="AJ43">
        <v>2</v>
      </c>
      <c r="AK43">
        <v>19.8</v>
      </c>
      <c r="AL43">
        <v>1</v>
      </c>
      <c r="AM43" t="s">
        <v>72</v>
      </c>
      <c r="AN43" t="b">
        <v>0</v>
      </c>
      <c r="AO43" t="s">
        <v>72</v>
      </c>
      <c r="AP43">
        <v>1</v>
      </c>
      <c r="AQ43">
        <v>1</v>
      </c>
      <c r="AR43">
        <v>1.3054508056222101</v>
      </c>
      <c r="AS43">
        <v>4</v>
      </c>
      <c r="AT43">
        <v>6.9750808565717701</v>
      </c>
      <c r="AU43">
        <v>2.0325636190990899</v>
      </c>
      <c r="AV43">
        <v>5.7788792117043402</v>
      </c>
      <c r="AW4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</v>
      </c>
      <c r="AX4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43">
        <v>4</v>
      </c>
      <c r="AZ43">
        <v>4</v>
      </c>
      <c r="BA43">
        <v>5.7788792117043402</v>
      </c>
      <c r="BB43">
        <v>11</v>
      </c>
      <c r="BC43">
        <v>2</v>
      </c>
      <c r="BD43">
        <v>4.0742842135867203</v>
      </c>
      <c r="BE43">
        <v>22149.0919291227</v>
      </c>
      <c r="BF43" t="s">
        <v>73</v>
      </c>
      <c r="BG43" t="s">
        <v>259</v>
      </c>
      <c r="BH43">
        <f>SUMPRODUCT(Results[[#This Row],[RegionLocation_Norm]:[PopEmp_Score_Norm]],[1]דירוג!$C$4:$G$4)</f>
        <v>4.2603921608196984</v>
      </c>
      <c r="BI4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</v>
      </c>
      <c r="BJ4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4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</v>
      </c>
    </row>
    <row r="44" spans="1:63" x14ac:dyDescent="0.2">
      <c r="A44">
        <v>158</v>
      </c>
      <c r="B44">
        <v>34.860866716870603</v>
      </c>
      <c r="C44">
        <v>32.278108731989299</v>
      </c>
      <c r="D44" t="s">
        <v>260</v>
      </c>
      <c r="E44" t="s">
        <v>261</v>
      </c>
      <c r="F44" t="s">
        <v>65</v>
      </c>
      <c r="G44" t="s">
        <v>66</v>
      </c>
      <c r="H44" t="s">
        <v>67</v>
      </c>
      <c r="I44" t="s">
        <v>68</v>
      </c>
      <c r="J44" t="s">
        <v>69</v>
      </c>
      <c r="K44" t="s">
        <v>69</v>
      </c>
      <c r="L44" t="s">
        <v>70</v>
      </c>
      <c r="M44" t="s">
        <v>71</v>
      </c>
      <c r="N44">
        <v>5159.20999999999</v>
      </c>
      <c r="O44">
        <v>22.830223</v>
      </c>
      <c r="P44">
        <v>4.4251393139647299E-3</v>
      </c>
      <c r="Q44">
        <v>1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2044.69094337258</v>
      </c>
      <c r="Z44">
        <v>19171.085603971798</v>
      </c>
      <c r="AA44">
        <v>9813.7784651017992</v>
      </c>
      <c r="AB44">
        <v>12636.911220305599</v>
      </c>
      <c r="AC44">
        <v>6077.8450595100903</v>
      </c>
      <c r="AD44">
        <v>4380.4165963728501</v>
      </c>
      <c r="AE44">
        <v>17936.314467984401</v>
      </c>
      <c r="AF44">
        <v>36188.413420650199</v>
      </c>
      <c r="AG44">
        <v>0</v>
      </c>
      <c r="AH44">
        <v>2</v>
      </c>
      <c r="AI44">
        <v>0</v>
      </c>
      <c r="AJ44">
        <v>2</v>
      </c>
      <c r="AK44">
        <v>9.9</v>
      </c>
      <c r="AL44">
        <v>1</v>
      </c>
      <c r="AM44" t="s">
        <v>72</v>
      </c>
      <c r="AN44" t="b">
        <v>0</v>
      </c>
      <c r="AO44" t="s">
        <v>72</v>
      </c>
      <c r="AP44">
        <v>1</v>
      </c>
      <c r="AQ44">
        <v>1</v>
      </c>
      <c r="AR44">
        <v>1</v>
      </c>
      <c r="AS44">
        <v>4</v>
      </c>
      <c r="AT44">
        <v>4.7614602845085798</v>
      </c>
      <c r="AU44">
        <v>2.53231435831403</v>
      </c>
      <c r="AV44">
        <v>4.2036226464895599</v>
      </c>
      <c r="AW4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9</v>
      </c>
      <c r="AX4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9</v>
      </c>
      <c r="AY44">
        <v>2</v>
      </c>
      <c r="AZ44">
        <v>2</v>
      </c>
      <c r="BA44">
        <v>4.2036226464895599</v>
      </c>
      <c r="BB44">
        <v>38</v>
      </c>
      <c r="BC44">
        <v>9</v>
      </c>
      <c r="BD44">
        <v>3.7125832057149499</v>
      </c>
      <c r="BE44">
        <v>32537.9936301171</v>
      </c>
      <c r="BF44" t="s">
        <v>73</v>
      </c>
      <c r="BG44" t="s">
        <v>262</v>
      </c>
      <c r="BH44">
        <f>SUMPRODUCT(Results[[#This Row],[RegionLocation_Norm]:[PopEmp_Score_Norm]],[1]דירוג!$C$4:$G$4)</f>
        <v>3.1889697118007514</v>
      </c>
      <c r="BI4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8</v>
      </c>
      <c r="BJ4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8</v>
      </c>
      <c r="BK4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8</v>
      </c>
    </row>
    <row r="45" spans="1:63" x14ac:dyDescent="0.2">
      <c r="A45">
        <v>159</v>
      </c>
      <c r="B45">
        <v>34.861950608978702</v>
      </c>
      <c r="C45">
        <v>32.281342678947702</v>
      </c>
      <c r="D45" t="s">
        <v>263</v>
      </c>
      <c r="E45" t="s">
        <v>264</v>
      </c>
      <c r="F45" t="s">
        <v>65</v>
      </c>
      <c r="G45" t="s">
        <v>66</v>
      </c>
      <c r="H45" t="s">
        <v>67</v>
      </c>
      <c r="I45" t="s">
        <v>68</v>
      </c>
      <c r="J45" t="s">
        <v>69</v>
      </c>
      <c r="K45" t="s">
        <v>69</v>
      </c>
      <c r="L45" t="s">
        <v>70</v>
      </c>
      <c r="M45" t="s">
        <v>71</v>
      </c>
      <c r="N45">
        <v>3465.95</v>
      </c>
      <c r="O45">
        <v>3169.8</v>
      </c>
      <c r="P45">
        <v>0.91455445116057599</v>
      </c>
      <c r="Q45">
        <v>1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2004.78402331848</v>
      </c>
      <c r="Z45">
        <v>19177.260182245202</v>
      </c>
      <c r="AA45">
        <v>10748.5536623236</v>
      </c>
      <c r="AB45">
        <v>16511.627404548999</v>
      </c>
      <c r="AC45">
        <v>7239.4738119838303</v>
      </c>
      <c r="AD45">
        <v>4317.79586785225</v>
      </c>
      <c r="AE45">
        <v>19992.811497626</v>
      </c>
      <c r="AF45">
        <v>40006.683454646503</v>
      </c>
      <c r="AG45">
        <v>0</v>
      </c>
      <c r="AH45">
        <v>2</v>
      </c>
      <c r="AI45">
        <v>0</v>
      </c>
      <c r="AJ45">
        <v>2</v>
      </c>
      <c r="AK45">
        <v>9.9</v>
      </c>
      <c r="AL45">
        <v>2</v>
      </c>
      <c r="AM45" t="s">
        <v>72</v>
      </c>
      <c r="AN45" t="b">
        <v>0</v>
      </c>
      <c r="AO45" t="s">
        <v>72</v>
      </c>
      <c r="AP45">
        <v>2</v>
      </c>
      <c r="AQ45">
        <v>1</v>
      </c>
      <c r="AR45">
        <v>1</v>
      </c>
      <c r="AS45">
        <v>7</v>
      </c>
      <c r="AT45">
        <v>3.7041585310591501</v>
      </c>
      <c r="AU45">
        <v>2.6990397590938899</v>
      </c>
      <c r="AV45">
        <v>4.6392265087711202</v>
      </c>
      <c r="AW4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7</v>
      </c>
      <c r="AX4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7</v>
      </c>
      <c r="AY45">
        <v>2</v>
      </c>
      <c r="AZ45">
        <v>2</v>
      </c>
      <c r="BA45">
        <v>4.6392265087711202</v>
      </c>
      <c r="BB45">
        <v>30</v>
      </c>
      <c r="BC45">
        <v>7</v>
      </c>
      <c r="BD45">
        <v>3.5398222932651602</v>
      </c>
      <c r="BE45">
        <v>36003.909063242398</v>
      </c>
      <c r="BF45" t="s">
        <v>73</v>
      </c>
      <c r="BG45" t="s">
        <v>265</v>
      </c>
      <c r="BH45">
        <f>SUMPRODUCT(Results[[#This Row],[RegionLocation_Norm]:[PopEmp_Score_Norm]],[1]דירוג!$C$4:$G$4)</f>
        <v>2.8867543043603243</v>
      </c>
      <c r="BI4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11</v>
      </c>
      <c r="BJ4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11</v>
      </c>
      <c r="BK4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18</v>
      </c>
    </row>
    <row r="46" spans="1:63" x14ac:dyDescent="0.2">
      <c r="A46">
        <v>161</v>
      </c>
      <c r="B46">
        <v>34.865202664699098</v>
      </c>
      <c r="C46">
        <v>32.291044212364902</v>
      </c>
      <c r="D46" t="s">
        <v>266</v>
      </c>
      <c r="E46" t="s">
        <v>267</v>
      </c>
      <c r="F46" t="s">
        <v>65</v>
      </c>
      <c r="G46" t="s">
        <v>66</v>
      </c>
      <c r="H46" t="s">
        <v>67</v>
      </c>
      <c r="I46" t="s">
        <v>68</v>
      </c>
      <c r="J46" t="s">
        <v>69</v>
      </c>
      <c r="K46" t="s">
        <v>69</v>
      </c>
      <c r="L46" t="s">
        <v>70</v>
      </c>
      <c r="M46" t="s">
        <v>71</v>
      </c>
      <c r="N46">
        <v>3235.85</v>
      </c>
      <c r="O46">
        <v>22.15</v>
      </c>
      <c r="P46">
        <v>6.8451875086916799E-3</v>
      </c>
      <c r="Q46">
        <v>1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4391.74615444961</v>
      </c>
      <c r="Z46">
        <v>10089.9555034928</v>
      </c>
      <c r="AA46">
        <v>9677.2711932908896</v>
      </c>
      <c r="AB46">
        <v>13117.5554090568</v>
      </c>
      <c r="AC46">
        <v>8531.6982648674493</v>
      </c>
      <c r="AD46">
        <v>7000.9765132216298</v>
      </c>
      <c r="AE46">
        <v>22600.715612607899</v>
      </c>
      <c r="AF46">
        <v>30208.487425771302</v>
      </c>
      <c r="AG46">
        <v>0</v>
      </c>
      <c r="AH46">
        <v>2</v>
      </c>
      <c r="AI46">
        <v>0</v>
      </c>
      <c r="AJ46">
        <v>2</v>
      </c>
      <c r="AK46">
        <v>9.9</v>
      </c>
      <c r="AL46">
        <v>0</v>
      </c>
      <c r="AM46" t="s">
        <v>72</v>
      </c>
      <c r="AN46" t="b">
        <v>0</v>
      </c>
      <c r="AO46" t="s">
        <v>72</v>
      </c>
      <c r="AP46">
        <v>0</v>
      </c>
      <c r="AQ46">
        <v>1</v>
      </c>
      <c r="AR46">
        <v>1</v>
      </c>
      <c r="AS46">
        <v>1</v>
      </c>
      <c r="AT46">
        <v>3.5215741322742899</v>
      </c>
      <c r="AU46">
        <v>2.3470618243599599</v>
      </c>
      <c r="AV46">
        <v>3.3902401359922498</v>
      </c>
      <c r="AW4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16</v>
      </c>
      <c r="AX4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16</v>
      </c>
      <c r="AY46">
        <v>2</v>
      </c>
      <c r="AZ46">
        <v>2</v>
      </c>
      <c r="BA46">
        <v>3.3902401359922498</v>
      </c>
      <c r="BB46">
        <v>63</v>
      </c>
      <c r="BC46">
        <v>16</v>
      </c>
      <c r="BD46">
        <v>3.5099883813944399</v>
      </c>
      <c r="BE46">
        <v>28686.9330631386</v>
      </c>
      <c r="BF46" t="s">
        <v>73</v>
      </c>
      <c r="BG46" t="s">
        <v>268</v>
      </c>
      <c r="BH46">
        <f>SUMPRODUCT(Results[[#This Row],[RegionLocation_Norm]:[PopEmp_Score_Norm]],[1]דירוג!$C$4:$G$4)</f>
        <v>2.390554028813145</v>
      </c>
      <c r="BI4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19</v>
      </c>
      <c r="BJ4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19</v>
      </c>
      <c r="BK4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20</v>
      </c>
    </row>
    <row r="47" spans="1:63" x14ac:dyDescent="0.2">
      <c r="A47">
        <v>162</v>
      </c>
      <c r="B47">
        <v>34.850499010683201</v>
      </c>
      <c r="C47">
        <v>32.279002801484097</v>
      </c>
      <c r="D47" t="s">
        <v>269</v>
      </c>
      <c r="E47" t="s">
        <v>270</v>
      </c>
      <c r="F47" t="s">
        <v>65</v>
      </c>
      <c r="G47" t="s">
        <v>66</v>
      </c>
      <c r="H47" t="s">
        <v>67</v>
      </c>
      <c r="I47" t="s">
        <v>68</v>
      </c>
      <c r="J47" t="s">
        <v>69</v>
      </c>
      <c r="K47" t="s">
        <v>69</v>
      </c>
      <c r="L47" t="s">
        <v>70</v>
      </c>
      <c r="M47" t="s">
        <v>71</v>
      </c>
      <c r="N47">
        <v>5121.59</v>
      </c>
      <c r="O47">
        <v>1593.59</v>
      </c>
      <c r="P47">
        <v>0.31115141977393701</v>
      </c>
      <c r="Q47">
        <v>1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12988.718936916101</v>
      </c>
      <c r="Z47">
        <v>2007.7893625904701</v>
      </c>
      <c r="AA47">
        <v>13598.0900705079</v>
      </c>
      <c r="AB47">
        <v>10879.995063856401</v>
      </c>
      <c r="AC47">
        <v>6607.6762967506802</v>
      </c>
      <c r="AD47">
        <v>7884.6676232251402</v>
      </c>
      <c r="AE47">
        <v>33194.485304174697</v>
      </c>
      <c r="AF47">
        <v>20772.452049672</v>
      </c>
      <c r="AG47">
        <v>0</v>
      </c>
      <c r="AH47">
        <v>2</v>
      </c>
      <c r="AI47">
        <v>0</v>
      </c>
      <c r="AJ47">
        <v>2</v>
      </c>
      <c r="AK47">
        <v>9.9</v>
      </c>
      <c r="AL47">
        <v>0</v>
      </c>
      <c r="AM47" t="s">
        <v>72</v>
      </c>
      <c r="AN47" t="b">
        <v>0</v>
      </c>
      <c r="AO47" t="s">
        <v>72</v>
      </c>
      <c r="AP47">
        <v>0</v>
      </c>
      <c r="AQ47">
        <v>1</v>
      </c>
      <c r="AR47">
        <v>1</v>
      </c>
      <c r="AS47">
        <v>1</v>
      </c>
      <c r="AT47">
        <v>4.7420084041671497</v>
      </c>
      <c r="AU47">
        <v>2.0858519530195898</v>
      </c>
      <c r="AV47">
        <v>4.3684549997118403</v>
      </c>
      <c r="AW4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8</v>
      </c>
      <c r="AX4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8</v>
      </c>
      <c r="AY47">
        <v>2</v>
      </c>
      <c r="AZ47">
        <v>2</v>
      </c>
      <c r="BA47">
        <v>4.3684549997118403</v>
      </c>
      <c r="BB47">
        <v>37</v>
      </c>
      <c r="BC47">
        <v>8</v>
      </c>
      <c r="BD47">
        <v>3.7094048088328</v>
      </c>
      <c r="BE47">
        <v>23256.8587005726</v>
      </c>
      <c r="BF47" t="s">
        <v>73</v>
      </c>
      <c r="BG47" t="s">
        <v>271</v>
      </c>
      <c r="BH47">
        <f>SUMPRODUCT(Results[[#This Row],[RegionLocation_Norm]:[PopEmp_Score_Norm]],[1]דירוג!$C$4:$G$4)</f>
        <v>2.9376134386616202</v>
      </c>
      <c r="BI4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10</v>
      </c>
      <c r="BJ4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10</v>
      </c>
      <c r="BK4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9</v>
      </c>
    </row>
    <row r="48" spans="1:63" x14ac:dyDescent="0.2">
      <c r="A48">
        <v>164</v>
      </c>
      <c r="B48">
        <v>34.818183375120498</v>
      </c>
      <c r="C48">
        <v>32.164229113169498</v>
      </c>
      <c r="D48" t="s">
        <v>272</v>
      </c>
      <c r="E48" t="s">
        <v>273</v>
      </c>
      <c r="F48" t="s">
        <v>274</v>
      </c>
      <c r="G48" t="s">
        <v>275</v>
      </c>
      <c r="H48" t="s">
        <v>276</v>
      </c>
      <c r="I48" t="s">
        <v>68</v>
      </c>
      <c r="J48" t="s">
        <v>69</v>
      </c>
      <c r="K48" t="s">
        <v>69</v>
      </c>
      <c r="L48" t="s">
        <v>192</v>
      </c>
      <c r="M48" t="s">
        <v>71</v>
      </c>
      <c r="N48">
        <v>61074.05</v>
      </c>
      <c r="O48">
        <v>55686.109999999899</v>
      </c>
      <c r="P48">
        <v>0.91178020779692803</v>
      </c>
      <c r="Q48">
        <v>2</v>
      </c>
      <c r="R48">
        <v>0</v>
      </c>
      <c r="S48">
        <v>0</v>
      </c>
      <c r="T48">
        <v>0</v>
      </c>
      <c r="U48">
        <v>11</v>
      </c>
      <c r="V48">
        <v>8</v>
      </c>
      <c r="W48">
        <v>0</v>
      </c>
      <c r="X48">
        <v>11</v>
      </c>
      <c r="Y48">
        <v>4061.3944997579802</v>
      </c>
      <c r="Z48">
        <v>4373.0203488126599</v>
      </c>
      <c r="AA48">
        <v>9203.5295225453192</v>
      </c>
      <c r="AB48">
        <v>11847.6439025663</v>
      </c>
      <c r="AC48">
        <v>7368.9072825389903</v>
      </c>
      <c r="AD48">
        <v>7598.7863682534498</v>
      </c>
      <c r="AE48">
        <v>20633.831304842301</v>
      </c>
      <c r="AF48">
        <v>23819.4506196324</v>
      </c>
      <c r="AG48">
        <v>0</v>
      </c>
      <c r="AH48">
        <v>2</v>
      </c>
      <c r="AI48">
        <v>0</v>
      </c>
      <c r="AJ48">
        <v>4</v>
      </c>
      <c r="AK48">
        <v>248.3</v>
      </c>
      <c r="AL48">
        <v>2</v>
      </c>
      <c r="AM48" t="s">
        <v>159</v>
      </c>
      <c r="AN48" t="b">
        <v>0</v>
      </c>
      <c r="AO48" t="s">
        <v>159</v>
      </c>
      <c r="AP48">
        <v>2</v>
      </c>
      <c r="AQ48">
        <v>1</v>
      </c>
      <c r="AR48">
        <v>8.3555022283167606</v>
      </c>
      <c r="AS48">
        <v>7</v>
      </c>
      <c r="AT48">
        <v>1.1775229491127801</v>
      </c>
      <c r="AU48">
        <v>2.0822666467831601</v>
      </c>
      <c r="AV48">
        <v>3.76574290382068</v>
      </c>
      <c r="AW4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10</v>
      </c>
      <c r="AX4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10</v>
      </c>
      <c r="AY48">
        <v>32</v>
      </c>
      <c r="AZ48">
        <v>32</v>
      </c>
      <c r="BA48">
        <v>3.76574290382068</v>
      </c>
      <c r="BB48">
        <v>50</v>
      </c>
      <c r="BC48">
        <v>10</v>
      </c>
      <c r="BD48">
        <v>4.7858567202960396</v>
      </c>
      <c r="BE48">
        <v>23182.3267566744</v>
      </c>
      <c r="BF48" t="s">
        <v>277</v>
      </c>
      <c r="BG48" t="s">
        <v>278</v>
      </c>
      <c r="BH48">
        <f>SUMPRODUCT(Results[[#This Row],[RegionLocation_Norm]:[PopEmp_Score_Norm]],[1]דירוג!$C$4:$G$4)</f>
        <v>3.58663213745261</v>
      </c>
      <c r="BI4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12</v>
      </c>
      <c r="BJ4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12</v>
      </c>
      <c r="BK4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13</v>
      </c>
    </row>
    <row r="49" spans="1:63" x14ac:dyDescent="0.2">
      <c r="A49">
        <v>170</v>
      </c>
      <c r="B49">
        <v>34.806337405524303</v>
      </c>
      <c r="C49">
        <v>32.163196821109899</v>
      </c>
      <c r="D49" t="s">
        <v>279</v>
      </c>
      <c r="E49" t="s">
        <v>280</v>
      </c>
      <c r="F49" t="s">
        <v>281</v>
      </c>
      <c r="G49" t="s">
        <v>282</v>
      </c>
      <c r="H49" t="s">
        <v>283</v>
      </c>
      <c r="I49" t="s">
        <v>68</v>
      </c>
      <c r="J49" t="s">
        <v>69</v>
      </c>
      <c r="K49" t="s">
        <v>69</v>
      </c>
      <c r="L49" t="s">
        <v>192</v>
      </c>
      <c r="M49" t="s">
        <v>71</v>
      </c>
      <c r="N49">
        <v>169505.03</v>
      </c>
      <c r="O49">
        <v>162895.31</v>
      </c>
      <c r="P49">
        <v>0.96100575894414397</v>
      </c>
      <c r="Q49">
        <v>2</v>
      </c>
      <c r="R49">
        <v>0</v>
      </c>
      <c r="S49">
        <v>0</v>
      </c>
      <c r="T49">
        <v>0</v>
      </c>
      <c r="U49">
        <v>0</v>
      </c>
      <c r="V49">
        <v>3</v>
      </c>
      <c r="W49">
        <v>2</v>
      </c>
      <c r="X49">
        <v>0</v>
      </c>
      <c r="Y49">
        <v>8163.9753370038898</v>
      </c>
      <c r="Z49">
        <v>16259.5975851152</v>
      </c>
      <c r="AA49">
        <v>11832.7734602537</v>
      </c>
      <c r="AB49">
        <v>19281.940539780298</v>
      </c>
      <c r="AC49">
        <v>7105.6688563678099</v>
      </c>
      <c r="AD49">
        <v>11135.546407402</v>
      </c>
      <c r="AE49">
        <v>27102.4176536255</v>
      </c>
      <c r="AF49">
        <v>46677.084532297602</v>
      </c>
      <c r="AG49">
        <v>0</v>
      </c>
      <c r="AH49">
        <v>2</v>
      </c>
      <c r="AI49">
        <v>0</v>
      </c>
      <c r="AJ49">
        <v>3</v>
      </c>
      <c r="AK49">
        <v>42</v>
      </c>
      <c r="AL49">
        <v>0</v>
      </c>
      <c r="AM49" t="s">
        <v>104</v>
      </c>
      <c r="AN49" t="b">
        <v>0</v>
      </c>
      <c r="AO49" t="s">
        <v>104</v>
      </c>
      <c r="AP49">
        <v>0</v>
      </c>
      <c r="AQ49">
        <v>1</v>
      </c>
      <c r="AR49">
        <v>1.9904010970174799</v>
      </c>
      <c r="AS49">
        <v>1</v>
      </c>
      <c r="AT49">
        <v>8.7104793249691692</v>
      </c>
      <c r="AU49">
        <v>3.0241401959964098</v>
      </c>
      <c r="AV49">
        <v>3.2503823101734</v>
      </c>
      <c r="AW4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30</v>
      </c>
      <c r="AX4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20</v>
      </c>
      <c r="AY49">
        <v>7</v>
      </c>
      <c r="AZ49">
        <v>7</v>
      </c>
      <c r="BA49">
        <v>3.2503823101734</v>
      </c>
      <c r="BB49">
        <v>70</v>
      </c>
      <c r="BC49">
        <v>30</v>
      </c>
      <c r="BD49">
        <v>5.2291825902608204</v>
      </c>
      <c r="BE49">
        <v>42762.151156563203</v>
      </c>
      <c r="BF49" t="s">
        <v>284</v>
      </c>
      <c r="BG49" t="s">
        <v>285</v>
      </c>
      <c r="BH49">
        <f>SUMPRODUCT(Results[[#This Row],[RegionLocation_Norm]:[PopEmp_Score_Norm]],[1]דירוג!$C$4:$G$4)</f>
        <v>5.2333633018705008</v>
      </c>
      <c r="BI4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11</v>
      </c>
      <c r="BJ4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9</v>
      </c>
      <c r="BK4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6</v>
      </c>
    </row>
    <row r="50" spans="1:63" x14ac:dyDescent="0.2">
      <c r="A50">
        <v>181</v>
      </c>
      <c r="B50">
        <v>34.842779817757098</v>
      </c>
      <c r="C50">
        <v>32.167229331013097</v>
      </c>
      <c r="D50" t="s">
        <v>286</v>
      </c>
      <c r="E50" t="s">
        <v>287</v>
      </c>
      <c r="F50" t="s">
        <v>189</v>
      </c>
      <c r="G50" t="s">
        <v>190</v>
      </c>
      <c r="H50" t="s">
        <v>191</v>
      </c>
      <c r="I50" t="s">
        <v>68</v>
      </c>
      <c r="J50" t="s">
        <v>69</v>
      </c>
      <c r="K50" t="s">
        <v>69</v>
      </c>
      <c r="L50" t="s">
        <v>192</v>
      </c>
      <c r="M50" t="s">
        <v>71</v>
      </c>
      <c r="N50">
        <v>46120.54</v>
      </c>
      <c r="O50">
        <v>18353.080000000002</v>
      </c>
      <c r="P50">
        <v>0.39793723143744603</v>
      </c>
      <c r="Q50">
        <v>2</v>
      </c>
      <c r="R50">
        <v>0</v>
      </c>
      <c r="S50">
        <v>0</v>
      </c>
      <c r="T50">
        <v>0</v>
      </c>
      <c r="U50">
        <v>0</v>
      </c>
      <c r="V50">
        <v>0</v>
      </c>
      <c r="W50">
        <v>2</v>
      </c>
      <c r="X50">
        <v>0</v>
      </c>
      <c r="Y50">
        <v>15532.264827386</v>
      </c>
      <c r="Z50">
        <v>6964.54149062529</v>
      </c>
      <c r="AA50">
        <v>26460.167160893401</v>
      </c>
      <c r="AB50">
        <v>11104.0470478843</v>
      </c>
      <c r="AC50">
        <v>15631.7336115574</v>
      </c>
      <c r="AD50">
        <v>6108.1365936422199</v>
      </c>
      <c r="AE50">
        <v>57624.165599836902</v>
      </c>
      <c r="AF50">
        <v>24176.725132151802</v>
      </c>
      <c r="AG50">
        <v>0</v>
      </c>
      <c r="AH50">
        <v>2</v>
      </c>
      <c r="AI50">
        <v>0</v>
      </c>
      <c r="AJ50">
        <v>2</v>
      </c>
      <c r="AK50">
        <v>22</v>
      </c>
      <c r="AL50">
        <v>0</v>
      </c>
      <c r="AM50" t="s">
        <v>104</v>
      </c>
      <c r="AN50" t="b">
        <v>0</v>
      </c>
      <c r="AO50" t="s">
        <v>104</v>
      </c>
      <c r="AP50">
        <v>0</v>
      </c>
      <c r="AQ50">
        <v>1</v>
      </c>
      <c r="AR50">
        <v>1.37332876242715</v>
      </c>
      <c r="AS50">
        <v>1</v>
      </c>
      <c r="AT50">
        <v>5.8409098300556801</v>
      </c>
      <c r="AU50">
        <v>2.4518945490826001</v>
      </c>
      <c r="AV50">
        <v>2.30430210087215</v>
      </c>
      <c r="AW5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47</v>
      </c>
      <c r="AX5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35</v>
      </c>
      <c r="AY50">
        <v>4</v>
      </c>
      <c r="AZ50">
        <v>4</v>
      </c>
      <c r="BA50">
        <v>2.30430210087215</v>
      </c>
      <c r="BB50">
        <v>116</v>
      </c>
      <c r="BC50">
        <v>49</v>
      </c>
      <c r="BD50">
        <v>4.6638943835673103</v>
      </c>
      <c r="BE50">
        <v>30866.2132256888</v>
      </c>
      <c r="BF50" t="s">
        <v>193</v>
      </c>
      <c r="BG50" t="s">
        <v>288</v>
      </c>
      <c r="BH50">
        <f>SUMPRODUCT(Results[[#This Row],[RegionLocation_Norm]:[PopEmp_Score_Norm]],[1]דירוג!$C$4:$G$4)</f>
        <v>3.6149403357068541</v>
      </c>
      <c r="BI5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34</v>
      </c>
      <c r="BJ5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28</v>
      </c>
      <c r="BK5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27</v>
      </c>
    </row>
    <row r="51" spans="1:63" x14ac:dyDescent="0.2">
      <c r="A51">
        <v>196</v>
      </c>
      <c r="B51">
        <v>35.2949265754716</v>
      </c>
      <c r="C51">
        <v>32.621800460112702</v>
      </c>
      <c r="D51" t="s">
        <v>289</v>
      </c>
      <c r="E51" t="s">
        <v>290</v>
      </c>
      <c r="F51" t="s">
        <v>291</v>
      </c>
      <c r="G51" t="s">
        <v>292</v>
      </c>
      <c r="H51" t="s">
        <v>293</v>
      </c>
      <c r="I51" t="s">
        <v>68</v>
      </c>
      <c r="J51" t="s">
        <v>294</v>
      </c>
      <c r="K51" t="s">
        <v>294</v>
      </c>
      <c r="L51" t="s">
        <v>295</v>
      </c>
      <c r="M51" t="s">
        <v>103</v>
      </c>
      <c r="N51">
        <v>9554.7795342000009</v>
      </c>
      <c r="O51">
        <v>7265.6722448999999</v>
      </c>
      <c r="P51">
        <v>0.76042280398972395</v>
      </c>
      <c r="Q51">
        <v>2.5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2.5</v>
      </c>
      <c r="Y51">
        <v>3575.0155207514199</v>
      </c>
      <c r="Z51">
        <v>2332.9950427620502</v>
      </c>
      <c r="AA51">
        <v>4957.2755343723802</v>
      </c>
      <c r="AB51">
        <v>3206.3721828048001</v>
      </c>
      <c r="AC51">
        <v>3307.9339553016998</v>
      </c>
      <c r="AD51">
        <v>2136.94286859467</v>
      </c>
      <c r="AE51">
        <v>11840.2250104255</v>
      </c>
      <c r="AF51">
        <v>7676.3100941615303</v>
      </c>
      <c r="AG51">
        <v>1</v>
      </c>
      <c r="AH51">
        <v>1</v>
      </c>
      <c r="AI51">
        <v>1</v>
      </c>
      <c r="AJ51">
        <v>2</v>
      </c>
      <c r="AK51">
        <v>27.5</v>
      </c>
      <c r="AL51">
        <v>3</v>
      </c>
      <c r="AM51" t="s">
        <v>104</v>
      </c>
      <c r="AN51" t="b">
        <v>0</v>
      </c>
      <c r="AO51" t="s">
        <v>104</v>
      </c>
      <c r="AP51">
        <v>3</v>
      </c>
      <c r="AQ51">
        <v>4</v>
      </c>
      <c r="AR51">
        <v>1.54302365443949</v>
      </c>
      <c r="AS51">
        <v>10</v>
      </c>
      <c r="AT51">
        <v>2.37038062418676</v>
      </c>
      <c r="AU51">
        <v>1.3764211600382199</v>
      </c>
      <c r="AV51">
        <v>3.8423561380053299</v>
      </c>
      <c r="AW5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21</v>
      </c>
      <c r="AX5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51">
        <v>5</v>
      </c>
      <c r="AZ51">
        <v>5</v>
      </c>
      <c r="BA51">
        <v>3.8423561380053299</v>
      </c>
      <c r="BB51">
        <v>48</v>
      </c>
      <c r="BC51">
        <v>20</v>
      </c>
      <c r="BD51">
        <v>3.9802206706495298</v>
      </c>
      <c r="BE51">
        <v>8509.0930774143199</v>
      </c>
      <c r="BF51" t="s">
        <v>296</v>
      </c>
      <c r="BG51" t="s">
        <v>297</v>
      </c>
      <c r="BH51">
        <f>SUMPRODUCT(Results[[#This Row],[RegionLocation_Norm]:[PopEmp_Score_Norm]],[1]דירוג!$C$4:$G$4)</f>
        <v>2.5425238899596856</v>
      </c>
      <c r="BI5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47</v>
      </c>
      <c r="BJ5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5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49</v>
      </c>
    </row>
    <row r="52" spans="1:63" x14ac:dyDescent="0.2">
      <c r="A52">
        <v>207</v>
      </c>
      <c r="B52">
        <v>35.208848953944198</v>
      </c>
      <c r="C52">
        <v>32.647986361107698</v>
      </c>
      <c r="D52" t="s">
        <v>298</v>
      </c>
      <c r="E52" t="s">
        <v>299</v>
      </c>
      <c r="F52" t="s">
        <v>98</v>
      </c>
      <c r="G52" t="s">
        <v>99</v>
      </c>
      <c r="H52" t="s">
        <v>300</v>
      </c>
      <c r="I52" t="s">
        <v>68</v>
      </c>
      <c r="J52" t="s">
        <v>294</v>
      </c>
      <c r="K52" t="s">
        <v>294</v>
      </c>
      <c r="L52" t="s">
        <v>295</v>
      </c>
      <c r="M52" t="s">
        <v>103</v>
      </c>
      <c r="N52">
        <v>5437.9636114000004</v>
      </c>
      <c r="O52">
        <v>4085.5000826</v>
      </c>
      <c r="P52">
        <v>0.75129228044764096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4</v>
      </c>
      <c r="Y52">
        <v>224.52600131413999</v>
      </c>
      <c r="Z52">
        <v>157.61451021524101</v>
      </c>
      <c r="AA52">
        <v>399.15733566956499</v>
      </c>
      <c r="AB52">
        <v>280.203573715971</v>
      </c>
      <c r="AC52">
        <v>274.420668272841</v>
      </c>
      <c r="AD52">
        <v>192.639956929741</v>
      </c>
      <c r="AE52">
        <v>898.104005256547</v>
      </c>
      <c r="AF52">
        <v>630.45804086095404</v>
      </c>
      <c r="AG52">
        <v>1</v>
      </c>
      <c r="AH52">
        <v>1</v>
      </c>
      <c r="AI52">
        <v>1</v>
      </c>
      <c r="AJ52">
        <v>2</v>
      </c>
      <c r="AK52">
        <v>30.8</v>
      </c>
      <c r="AL52">
        <v>2</v>
      </c>
      <c r="AM52" t="s">
        <v>104</v>
      </c>
      <c r="AN52" t="b">
        <v>0</v>
      </c>
      <c r="AO52" t="s">
        <v>104</v>
      </c>
      <c r="AP52">
        <v>2</v>
      </c>
      <c r="AQ52">
        <v>4</v>
      </c>
      <c r="AR52">
        <v>1.6448405896468901</v>
      </c>
      <c r="AS52">
        <v>7</v>
      </c>
      <c r="AT52">
        <v>1.1277830204685499</v>
      </c>
      <c r="AU52">
        <v>1</v>
      </c>
      <c r="AV52">
        <v>2.9508934472903499</v>
      </c>
      <c r="AW5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36</v>
      </c>
      <c r="AX5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52">
        <v>5</v>
      </c>
      <c r="AZ52">
        <v>5</v>
      </c>
      <c r="BA52">
        <v>2.9508934472903499</v>
      </c>
      <c r="BB52">
        <v>84</v>
      </c>
      <c r="BC52">
        <v>37</v>
      </c>
      <c r="BD52">
        <v>3.73543629714242</v>
      </c>
      <c r="BE52">
        <v>683.98723374007295</v>
      </c>
      <c r="BF52" t="s">
        <v>301</v>
      </c>
      <c r="BG52" t="s">
        <v>302</v>
      </c>
      <c r="BH52">
        <f>SUMPRODUCT(Results[[#This Row],[RegionLocation_Norm]:[PopEmp_Score_Norm]],[1]דירוג!$C$4:$G$4)</f>
        <v>1.7438320835782741</v>
      </c>
      <c r="BI5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53</v>
      </c>
      <c r="BJ5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5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53</v>
      </c>
    </row>
    <row r="53" spans="1:63" x14ac:dyDescent="0.2">
      <c r="A53">
        <v>214</v>
      </c>
      <c r="B53">
        <v>35.299463474735703</v>
      </c>
      <c r="C53">
        <v>32.693331866597703</v>
      </c>
      <c r="D53" t="s">
        <v>303</v>
      </c>
      <c r="E53" t="s">
        <v>304</v>
      </c>
      <c r="F53" t="s">
        <v>305</v>
      </c>
      <c r="G53" t="s">
        <v>306</v>
      </c>
      <c r="H53" t="s">
        <v>307</v>
      </c>
      <c r="I53" t="s">
        <v>68</v>
      </c>
      <c r="J53" t="s">
        <v>294</v>
      </c>
      <c r="K53" t="s">
        <v>294</v>
      </c>
      <c r="L53" t="s">
        <v>295</v>
      </c>
      <c r="M53" t="s">
        <v>103</v>
      </c>
      <c r="N53">
        <v>5225.7329523199996</v>
      </c>
      <c r="O53">
        <v>4240.3904505299997</v>
      </c>
      <c r="P53">
        <v>0.81144415323547003</v>
      </c>
      <c r="Q53">
        <v>14.5</v>
      </c>
      <c r="R53">
        <v>0</v>
      </c>
      <c r="S53">
        <v>0</v>
      </c>
      <c r="T53">
        <v>0</v>
      </c>
      <c r="U53">
        <v>0</v>
      </c>
      <c r="V53">
        <v>2.5</v>
      </c>
      <c r="W53">
        <v>0</v>
      </c>
      <c r="X53">
        <v>0</v>
      </c>
      <c r="Y53">
        <v>9499.5043567131797</v>
      </c>
      <c r="Z53">
        <v>6661.29114553411</v>
      </c>
      <c r="AA53">
        <v>13405.558873374601</v>
      </c>
      <c r="AB53">
        <v>7683.9811606165104</v>
      </c>
      <c r="AC53">
        <v>7915.5234706901902</v>
      </c>
      <c r="AD53">
        <v>3675.62062085448</v>
      </c>
      <c r="AE53">
        <v>30820.586700778</v>
      </c>
      <c r="AF53">
        <v>18020.892927005101</v>
      </c>
      <c r="AG53">
        <v>1</v>
      </c>
      <c r="AH53">
        <v>1</v>
      </c>
      <c r="AI53">
        <v>1</v>
      </c>
      <c r="AJ53">
        <v>2</v>
      </c>
      <c r="AK53">
        <v>77.55</v>
      </c>
      <c r="AL53">
        <v>0</v>
      </c>
      <c r="AM53" t="s">
        <v>121</v>
      </c>
      <c r="AN53" t="b">
        <v>0</v>
      </c>
      <c r="AO53" t="s">
        <v>121</v>
      </c>
      <c r="AP53">
        <v>0</v>
      </c>
      <c r="AQ53">
        <v>4</v>
      </c>
      <c r="AR53">
        <v>3.0872471717517902</v>
      </c>
      <c r="AS53">
        <v>1</v>
      </c>
      <c r="AT53">
        <v>4.0464535427445298</v>
      </c>
      <c r="AU53">
        <v>2.3265556815042401</v>
      </c>
      <c r="AV53">
        <v>3.28006077754298</v>
      </c>
      <c r="AW5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11</v>
      </c>
      <c r="AX5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53">
        <v>17</v>
      </c>
      <c r="AZ53">
        <v>17</v>
      </c>
      <c r="BA53">
        <v>3.28006077754298</v>
      </c>
      <c r="BB53">
        <v>68</v>
      </c>
      <c r="BC53">
        <v>11</v>
      </c>
      <c r="BD53">
        <v>3.7181472124527</v>
      </c>
      <c r="BE53">
        <v>28260.6479460234</v>
      </c>
      <c r="BF53" t="s">
        <v>308</v>
      </c>
      <c r="BG53" t="s">
        <v>309</v>
      </c>
      <c r="BH53">
        <f>SUMPRODUCT(Results[[#This Row],[RegionLocation_Norm]:[PopEmp_Score_Norm]],[1]דירוג!$C$4:$G$4)</f>
        <v>3.35424001670571</v>
      </c>
      <c r="BI5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21</v>
      </c>
      <c r="BJ5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5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22</v>
      </c>
    </row>
    <row r="54" spans="1:63" x14ac:dyDescent="0.2">
      <c r="A54">
        <v>271</v>
      </c>
      <c r="B54">
        <v>35.218129711898797</v>
      </c>
      <c r="C54">
        <v>31.782964038883001</v>
      </c>
      <c r="D54" t="s">
        <v>310</v>
      </c>
      <c r="E54" t="s">
        <v>311</v>
      </c>
      <c r="F54" t="s">
        <v>312</v>
      </c>
      <c r="G54" t="s">
        <v>313</v>
      </c>
      <c r="H54" t="s">
        <v>314</v>
      </c>
      <c r="I54" t="s">
        <v>68</v>
      </c>
      <c r="J54" t="s">
        <v>315</v>
      </c>
      <c r="K54" t="s">
        <v>315</v>
      </c>
      <c r="L54" t="s">
        <v>316</v>
      </c>
      <c r="M54" t="s">
        <v>317</v>
      </c>
      <c r="N54">
        <v>176863.2</v>
      </c>
      <c r="O54">
        <v>0</v>
      </c>
      <c r="P54">
        <v>0</v>
      </c>
      <c r="Q54">
        <v>0</v>
      </c>
      <c r="R54">
        <v>0</v>
      </c>
      <c r="S54">
        <v>0</v>
      </c>
      <c r="T54">
        <v>3.5</v>
      </c>
      <c r="U54">
        <v>3.5</v>
      </c>
      <c r="V54">
        <v>7.5</v>
      </c>
      <c r="W54">
        <v>0</v>
      </c>
      <c r="X54">
        <v>3.5</v>
      </c>
      <c r="Y54">
        <v>32228.556716229901</v>
      </c>
      <c r="Z54">
        <v>32387.625785643999</v>
      </c>
      <c r="AA54">
        <v>60436.692645298601</v>
      </c>
      <c r="AB54">
        <v>43269.327414881998</v>
      </c>
      <c r="AC54">
        <v>34574.167624510199</v>
      </c>
      <c r="AD54">
        <v>25678.741858084199</v>
      </c>
      <c r="AE54">
        <v>127239.41698603801</v>
      </c>
      <c r="AF54">
        <v>101335.69505861</v>
      </c>
      <c r="AG54">
        <v>1</v>
      </c>
      <c r="AH54">
        <v>3</v>
      </c>
      <c r="AI54">
        <v>3</v>
      </c>
      <c r="AJ54">
        <v>4</v>
      </c>
      <c r="AK54">
        <v>144.30000000000001</v>
      </c>
      <c r="AL54">
        <v>0</v>
      </c>
      <c r="AM54" t="s">
        <v>159</v>
      </c>
      <c r="AN54" t="b">
        <v>0</v>
      </c>
      <c r="AO54" t="s">
        <v>159</v>
      </c>
      <c r="AP54">
        <v>0</v>
      </c>
      <c r="AQ54">
        <v>10</v>
      </c>
      <c r="AR54">
        <v>5.1467260884470303</v>
      </c>
      <c r="AS54">
        <v>1</v>
      </c>
      <c r="AT54">
        <v>4.8478731358021596</v>
      </c>
      <c r="AU54">
        <v>6.0909949624408002</v>
      </c>
      <c r="AV54">
        <v>5.3262159168652197</v>
      </c>
      <c r="AW5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8</v>
      </c>
      <c r="AX5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8</v>
      </c>
      <c r="AY54">
        <v>18</v>
      </c>
      <c r="AZ54">
        <v>18</v>
      </c>
      <c r="BA54">
        <v>5.3262159168652197</v>
      </c>
      <c r="BB54">
        <v>18</v>
      </c>
      <c r="BC54">
        <v>8</v>
      </c>
      <c r="BD54">
        <v>5.24763747847493</v>
      </c>
      <c r="BE54">
        <v>106516.439444096</v>
      </c>
      <c r="BF54" t="s">
        <v>318</v>
      </c>
      <c r="BG54" t="s">
        <v>319</v>
      </c>
      <c r="BH54">
        <f>SUMPRODUCT(Results[[#This Row],[RegionLocation_Norm]:[PopEmp_Score_Norm]],[1]דירוג!$C$4:$G$4)</f>
        <v>5.1186944286618488</v>
      </c>
      <c r="BI5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8</v>
      </c>
      <c r="BJ5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8</v>
      </c>
      <c r="BK5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6</v>
      </c>
    </row>
    <row r="55" spans="1:63" x14ac:dyDescent="0.2">
      <c r="A55">
        <v>283</v>
      </c>
      <c r="B55">
        <v>35.201466609532197</v>
      </c>
      <c r="C55">
        <v>31.786944684114001</v>
      </c>
      <c r="D55" t="s">
        <v>320</v>
      </c>
      <c r="E55" t="s">
        <v>321</v>
      </c>
      <c r="F55" t="s">
        <v>322</v>
      </c>
      <c r="G55" t="s">
        <v>323</v>
      </c>
      <c r="H55" t="s">
        <v>324</v>
      </c>
      <c r="I55" t="s">
        <v>68</v>
      </c>
      <c r="J55" t="s">
        <v>315</v>
      </c>
      <c r="K55" t="s">
        <v>315</v>
      </c>
      <c r="L55" t="s">
        <v>316</v>
      </c>
      <c r="M55" t="s">
        <v>317</v>
      </c>
      <c r="N55">
        <v>208027.44</v>
      </c>
      <c r="O55">
        <v>0</v>
      </c>
      <c r="P55">
        <v>0</v>
      </c>
      <c r="Q55">
        <v>0</v>
      </c>
      <c r="R55">
        <v>0</v>
      </c>
      <c r="S55">
        <v>0</v>
      </c>
      <c r="T55">
        <v>3.3333333333333299</v>
      </c>
      <c r="U55">
        <v>3.3333333333333299</v>
      </c>
      <c r="V55">
        <v>12</v>
      </c>
      <c r="W55">
        <v>0</v>
      </c>
      <c r="X55">
        <v>3.3333333333333299</v>
      </c>
      <c r="Y55">
        <v>18576.272854749801</v>
      </c>
      <c r="Z55">
        <v>41352.001675452499</v>
      </c>
      <c r="AA55">
        <v>43883.175767874098</v>
      </c>
      <c r="AB55">
        <v>40687.670948256302</v>
      </c>
      <c r="AC55">
        <v>25703.5900058019</v>
      </c>
      <c r="AD55">
        <v>23930.725010701801</v>
      </c>
      <c r="AE55">
        <v>88163.0386284259</v>
      </c>
      <c r="AF55">
        <v>105970.39763440999</v>
      </c>
      <c r="AG55">
        <v>1</v>
      </c>
      <c r="AH55">
        <v>3</v>
      </c>
      <c r="AI55">
        <v>3</v>
      </c>
      <c r="AJ55">
        <v>4</v>
      </c>
      <c r="AK55">
        <v>169</v>
      </c>
      <c r="AL55">
        <v>3</v>
      </c>
      <c r="AM55" t="s">
        <v>159</v>
      </c>
      <c r="AN55" t="b">
        <v>0</v>
      </c>
      <c r="AO55" t="s">
        <v>159</v>
      </c>
      <c r="AP55">
        <v>3</v>
      </c>
      <c r="AQ55">
        <v>10</v>
      </c>
      <c r="AR55">
        <v>5.9088104216660904</v>
      </c>
      <c r="AS55">
        <v>10</v>
      </c>
      <c r="AT55">
        <v>5.4080909970572701</v>
      </c>
      <c r="AU55">
        <v>5.89340593691586</v>
      </c>
      <c r="AV55">
        <v>7.4911222102447903</v>
      </c>
      <c r="AW5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</v>
      </c>
      <c r="AX5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55">
        <v>21.999999999999901</v>
      </c>
      <c r="AZ55">
        <v>22</v>
      </c>
      <c r="BA55">
        <v>7.4911222102447903</v>
      </c>
      <c r="BB55">
        <v>1</v>
      </c>
      <c r="BC55">
        <v>1</v>
      </c>
      <c r="BD55">
        <v>5.3181206246482704</v>
      </c>
      <c r="BE55">
        <v>102408.925833213</v>
      </c>
      <c r="BF55" t="s">
        <v>325</v>
      </c>
      <c r="BG55" t="s">
        <v>326</v>
      </c>
      <c r="BH55">
        <f>SUMPRODUCT(Results[[#This Row],[RegionLocation_Norm]:[PopEmp_Score_Norm]],[1]דירוג!$C$4:$G$4)</f>
        <v>6.1055385460961897</v>
      </c>
      <c r="BI5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</v>
      </c>
      <c r="BJ5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5</v>
      </c>
      <c r="BK5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</v>
      </c>
    </row>
    <row r="56" spans="1:63" x14ac:dyDescent="0.2">
      <c r="A56">
        <v>303</v>
      </c>
      <c r="B56">
        <v>34.8605442755862</v>
      </c>
      <c r="C56">
        <v>31.917045446561701</v>
      </c>
      <c r="D56" t="s">
        <v>327</v>
      </c>
      <c r="E56" t="s">
        <v>328</v>
      </c>
      <c r="F56" t="s">
        <v>241</v>
      </c>
      <c r="G56" t="s">
        <v>242</v>
      </c>
      <c r="H56" t="s">
        <v>329</v>
      </c>
      <c r="I56" t="s">
        <v>68</v>
      </c>
      <c r="J56" t="s">
        <v>69</v>
      </c>
      <c r="K56" t="s">
        <v>69</v>
      </c>
      <c r="L56" t="s">
        <v>70</v>
      </c>
      <c r="M56" t="s">
        <v>71</v>
      </c>
      <c r="N56">
        <v>13857.08</v>
      </c>
      <c r="O56">
        <v>10178.116900000001</v>
      </c>
      <c r="P56">
        <v>0.73450661322587396</v>
      </c>
      <c r="Q56">
        <v>0</v>
      </c>
      <c r="R56">
        <v>0</v>
      </c>
      <c r="S56">
        <v>0</v>
      </c>
      <c r="T56">
        <v>0</v>
      </c>
      <c r="U56">
        <v>0</v>
      </c>
      <c r="V56">
        <v>2</v>
      </c>
      <c r="W56">
        <v>0</v>
      </c>
      <c r="X56">
        <v>4</v>
      </c>
      <c r="Y56">
        <v>5004.7046445698797</v>
      </c>
      <c r="Z56">
        <v>1329.6855975907899</v>
      </c>
      <c r="AA56">
        <v>10950.8261093663</v>
      </c>
      <c r="AB56">
        <v>2595.60888563154</v>
      </c>
      <c r="AC56">
        <v>8075.8212075664696</v>
      </c>
      <c r="AD56">
        <v>1786.22464989378</v>
      </c>
      <c r="AE56">
        <v>24031.351961502602</v>
      </c>
      <c r="AF56">
        <v>5711.5191331161204</v>
      </c>
      <c r="AG56">
        <v>0</v>
      </c>
      <c r="AH56">
        <v>2</v>
      </c>
      <c r="AI56">
        <v>0</v>
      </c>
      <c r="AJ56">
        <v>2</v>
      </c>
      <c r="AK56">
        <v>37.4</v>
      </c>
      <c r="AL56">
        <v>2</v>
      </c>
      <c r="AM56" t="s">
        <v>104</v>
      </c>
      <c r="AN56" t="b">
        <v>0</v>
      </c>
      <c r="AO56" t="s">
        <v>104</v>
      </c>
      <c r="AP56">
        <v>2</v>
      </c>
      <c r="AQ56">
        <v>1</v>
      </c>
      <c r="AR56">
        <v>1.8484744600617</v>
      </c>
      <c r="AS56">
        <v>7</v>
      </c>
      <c r="AT56">
        <v>3.18995374255941</v>
      </c>
      <c r="AU56">
        <v>1.4180983618682299</v>
      </c>
      <c r="AV56">
        <v>2.9058110107708899</v>
      </c>
      <c r="AW5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37</v>
      </c>
      <c r="AX5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26</v>
      </c>
      <c r="AY56">
        <v>6</v>
      </c>
      <c r="AZ56">
        <v>6</v>
      </c>
      <c r="BA56">
        <v>2.9058110107708899</v>
      </c>
      <c r="BB56">
        <v>86</v>
      </c>
      <c r="BC56">
        <v>38</v>
      </c>
      <c r="BD56">
        <v>4.1416717242519301</v>
      </c>
      <c r="BE56">
        <v>9375.4856987934309</v>
      </c>
      <c r="BF56" t="s">
        <v>330</v>
      </c>
      <c r="BG56" t="s">
        <v>331</v>
      </c>
      <c r="BH56">
        <f>SUMPRODUCT(Results[[#This Row],[RegionLocation_Norm]:[PopEmp_Score_Norm]],[1]דירוג!$C$4:$G$4)</f>
        <v>2.6928501399198028</v>
      </c>
      <c r="BI5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46</v>
      </c>
      <c r="BJ5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37</v>
      </c>
      <c r="BK5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45</v>
      </c>
    </row>
    <row r="57" spans="1:63" x14ac:dyDescent="0.2">
      <c r="A57">
        <v>306</v>
      </c>
      <c r="B57">
        <v>34.8043126191968</v>
      </c>
      <c r="C57">
        <v>31.908496787300098</v>
      </c>
      <c r="D57" t="s">
        <v>332</v>
      </c>
      <c r="E57" t="s">
        <v>333</v>
      </c>
      <c r="F57" t="s">
        <v>334</v>
      </c>
      <c r="G57" t="s">
        <v>335</v>
      </c>
      <c r="H57" t="s">
        <v>336</v>
      </c>
      <c r="I57" t="s">
        <v>68</v>
      </c>
      <c r="J57" t="s">
        <v>69</v>
      </c>
      <c r="K57" t="s">
        <v>69</v>
      </c>
      <c r="L57" t="s">
        <v>167</v>
      </c>
      <c r="M57" t="s">
        <v>71</v>
      </c>
      <c r="N57">
        <v>148735.32</v>
      </c>
      <c r="O57">
        <v>109641.83</v>
      </c>
      <c r="P57">
        <v>0.73716068247945399</v>
      </c>
      <c r="Q57">
        <v>0</v>
      </c>
      <c r="R57">
        <v>0</v>
      </c>
      <c r="S57">
        <v>0</v>
      </c>
      <c r="T57">
        <v>0</v>
      </c>
      <c r="U57">
        <v>3</v>
      </c>
      <c r="V57">
        <v>6</v>
      </c>
      <c r="W57">
        <v>4</v>
      </c>
      <c r="X57">
        <v>3</v>
      </c>
      <c r="Y57">
        <v>3411.6235200327301</v>
      </c>
      <c r="Z57">
        <v>14740.8155364015</v>
      </c>
      <c r="AA57">
        <v>11465.354687654801</v>
      </c>
      <c r="AB57">
        <v>19371.649739054501</v>
      </c>
      <c r="AC57">
        <v>8435.7912219091995</v>
      </c>
      <c r="AD57">
        <v>10485.220610226101</v>
      </c>
      <c r="AE57">
        <v>23312.769429596799</v>
      </c>
      <c r="AF57">
        <v>44597.6858856822</v>
      </c>
      <c r="AG57">
        <v>0</v>
      </c>
      <c r="AH57">
        <v>2</v>
      </c>
      <c r="AI57">
        <v>0</v>
      </c>
      <c r="AJ57">
        <v>4</v>
      </c>
      <c r="AK57">
        <v>120.9</v>
      </c>
      <c r="AL57">
        <v>2</v>
      </c>
      <c r="AM57" t="s">
        <v>159</v>
      </c>
      <c r="AN57" t="b">
        <v>0</v>
      </c>
      <c r="AO57" t="s">
        <v>159</v>
      </c>
      <c r="AP57">
        <v>2</v>
      </c>
      <c r="AQ57">
        <v>1</v>
      </c>
      <c r="AR57">
        <v>4.42475145697634</v>
      </c>
      <c r="AS57">
        <v>7</v>
      </c>
      <c r="AT57">
        <v>4.2499788067497501</v>
      </c>
      <c r="AU57">
        <v>2.9076581323761901</v>
      </c>
      <c r="AV57">
        <v>3.69743215691292</v>
      </c>
      <c r="AW5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11</v>
      </c>
      <c r="AX5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11</v>
      </c>
      <c r="AY57">
        <v>16</v>
      </c>
      <c r="AZ57">
        <v>16</v>
      </c>
      <c r="BA57">
        <v>3.69743215691292</v>
      </c>
      <c r="BB57">
        <v>51</v>
      </c>
      <c r="BC57">
        <v>11</v>
      </c>
      <c r="BD57">
        <v>5.1724141121645602</v>
      </c>
      <c r="BE57">
        <v>40340.702594465103</v>
      </c>
      <c r="BF57" t="s">
        <v>337</v>
      </c>
      <c r="BG57" t="s">
        <v>338</v>
      </c>
      <c r="BH57">
        <f>SUMPRODUCT(Results[[#This Row],[RegionLocation_Norm]:[PopEmp_Score_Norm]],[1]דירוג!$C$4:$G$4)</f>
        <v>4.1047619948672596</v>
      </c>
      <c r="BI5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10</v>
      </c>
      <c r="BJ5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10</v>
      </c>
      <c r="BK5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8</v>
      </c>
    </row>
    <row r="58" spans="1:63" x14ac:dyDescent="0.2">
      <c r="A58">
        <v>313</v>
      </c>
      <c r="B58">
        <v>34.897738211874497</v>
      </c>
      <c r="C58">
        <v>31.958724417568</v>
      </c>
      <c r="D58" t="s">
        <v>339</v>
      </c>
      <c r="E58" t="s">
        <v>340</v>
      </c>
      <c r="F58" t="s">
        <v>182</v>
      </c>
      <c r="G58" t="s">
        <v>183</v>
      </c>
      <c r="H58" t="s">
        <v>341</v>
      </c>
      <c r="I58" t="s">
        <v>68</v>
      </c>
      <c r="J58" t="s">
        <v>69</v>
      </c>
      <c r="K58" t="s">
        <v>69</v>
      </c>
      <c r="L58" t="s">
        <v>167</v>
      </c>
      <c r="M58" t="s">
        <v>71</v>
      </c>
      <c r="N58">
        <v>29674.84</v>
      </c>
      <c r="O58">
        <v>15638.839</v>
      </c>
      <c r="P58">
        <v>0.52700668310258703</v>
      </c>
      <c r="Q58">
        <v>6</v>
      </c>
      <c r="R58">
        <v>0</v>
      </c>
      <c r="S58">
        <v>0</v>
      </c>
      <c r="T58">
        <v>0</v>
      </c>
      <c r="U58">
        <v>0</v>
      </c>
      <c r="V58">
        <v>2</v>
      </c>
      <c r="W58">
        <v>0</v>
      </c>
      <c r="X58">
        <v>0</v>
      </c>
      <c r="Y58">
        <v>15043.7280873987</v>
      </c>
      <c r="Z58">
        <v>10461.8564451</v>
      </c>
      <c r="AA58">
        <v>21513.8690631506</v>
      </c>
      <c r="AB58">
        <v>20894.191042622799</v>
      </c>
      <c r="AC58">
        <v>9781.1027802588706</v>
      </c>
      <c r="AD58">
        <v>7297.7573065685501</v>
      </c>
      <c r="AE58">
        <v>46338.699930808303</v>
      </c>
      <c r="AF58">
        <v>38653.804794291398</v>
      </c>
      <c r="AG58">
        <v>0</v>
      </c>
      <c r="AH58">
        <v>2</v>
      </c>
      <c r="AI58">
        <v>0</v>
      </c>
      <c r="AJ58">
        <v>2</v>
      </c>
      <c r="AK58">
        <v>37.4</v>
      </c>
      <c r="AL58">
        <v>0</v>
      </c>
      <c r="AM58" t="s">
        <v>121</v>
      </c>
      <c r="AN58" t="b">
        <v>0</v>
      </c>
      <c r="AO58" t="s">
        <v>121</v>
      </c>
      <c r="AP58">
        <v>0</v>
      </c>
      <c r="AQ58">
        <v>1</v>
      </c>
      <c r="AR58">
        <v>1.8484744600617</v>
      </c>
      <c r="AS58">
        <v>1</v>
      </c>
      <c r="AT58">
        <v>7.7437891208881302</v>
      </c>
      <c r="AU58">
        <v>3.1222522503839301</v>
      </c>
      <c r="AV58">
        <v>3.3198314045534301</v>
      </c>
      <c r="AW5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10</v>
      </c>
      <c r="AX5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</v>
      </c>
      <c r="AY58">
        <v>8</v>
      </c>
      <c r="AZ58">
        <v>8</v>
      </c>
      <c r="BA58">
        <v>3.3198314045534301</v>
      </c>
      <c r="BB58">
        <v>66</v>
      </c>
      <c r="BC58">
        <v>10</v>
      </c>
      <c r="BD58">
        <v>4.4723883860156901</v>
      </c>
      <c r="BE58">
        <v>44801.720903504902</v>
      </c>
      <c r="BF58" t="s">
        <v>342</v>
      </c>
      <c r="BG58" t="s">
        <v>343</v>
      </c>
      <c r="BH58">
        <f>SUMPRODUCT(Results[[#This Row],[RegionLocation_Norm]:[PopEmp_Score_Norm]],[1]דירוג!$C$4:$G$4)</f>
        <v>4.7464608412646125</v>
      </c>
      <c r="BI5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6</v>
      </c>
      <c r="BJ5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</v>
      </c>
      <c r="BK5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</v>
      </c>
    </row>
    <row r="59" spans="1:63" x14ac:dyDescent="0.2">
      <c r="A59">
        <v>314</v>
      </c>
      <c r="B59">
        <v>34.899660659692501</v>
      </c>
      <c r="C59">
        <v>31.962205550244398</v>
      </c>
      <c r="D59" t="s">
        <v>344</v>
      </c>
      <c r="E59" t="s">
        <v>345</v>
      </c>
      <c r="F59" t="s">
        <v>65</v>
      </c>
      <c r="G59" t="s">
        <v>66</v>
      </c>
      <c r="H59" t="s">
        <v>346</v>
      </c>
      <c r="I59" t="s">
        <v>68</v>
      </c>
      <c r="J59" t="s">
        <v>69</v>
      </c>
      <c r="K59" t="s">
        <v>69</v>
      </c>
      <c r="L59" t="s">
        <v>167</v>
      </c>
      <c r="M59" t="s">
        <v>71</v>
      </c>
      <c r="N59">
        <v>6550.66</v>
      </c>
      <c r="O59">
        <v>796.07249999999999</v>
      </c>
      <c r="P59">
        <v>0.121525540937859</v>
      </c>
      <c r="Q59">
        <v>8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  <c r="Y59">
        <v>7338.7944079048902</v>
      </c>
      <c r="Z59">
        <v>10876.7595897711</v>
      </c>
      <c r="AA59">
        <v>14669.125755643199</v>
      </c>
      <c r="AB59">
        <v>13257.405276232699</v>
      </c>
      <c r="AC59">
        <v>10590.922875321699</v>
      </c>
      <c r="AD59">
        <v>8275.5181190521398</v>
      </c>
      <c r="AE59">
        <v>32598.843038869902</v>
      </c>
      <c r="AF59">
        <v>32409.682985056101</v>
      </c>
      <c r="AG59">
        <v>0</v>
      </c>
      <c r="AH59">
        <v>2</v>
      </c>
      <c r="AI59">
        <v>0</v>
      </c>
      <c r="AJ59">
        <v>2</v>
      </c>
      <c r="AK59">
        <v>40.700000000000003</v>
      </c>
      <c r="AL59">
        <v>0</v>
      </c>
      <c r="AM59" t="s">
        <v>121</v>
      </c>
      <c r="AN59" t="b">
        <v>0</v>
      </c>
      <c r="AO59" t="s">
        <v>121</v>
      </c>
      <c r="AP59">
        <v>0</v>
      </c>
      <c r="AQ59">
        <v>1</v>
      </c>
      <c r="AR59">
        <v>1.9502913952691101</v>
      </c>
      <c r="AS59">
        <v>1</v>
      </c>
      <c r="AT59">
        <v>4.5275311654264403</v>
      </c>
      <c r="AU59">
        <v>2.5334215938997899</v>
      </c>
      <c r="AV59">
        <v>2.3999550521424098</v>
      </c>
      <c r="AW5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27</v>
      </c>
      <c r="AX5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17</v>
      </c>
      <c r="AY59">
        <v>9</v>
      </c>
      <c r="AZ59">
        <v>9</v>
      </c>
      <c r="BA59">
        <v>2.3999550521424098</v>
      </c>
      <c r="BB59">
        <v>110</v>
      </c>
      <c r="BC59">
        <v>27</v>
      </c>
      <c r="BD59">
        <v>3.8162850587578698</v>
      </c>
      <c r="BE59">
        <v>32561.011028107099</v>
      </c>
      <c r="BF59" t="s">
        <v>347</v>
      </c>
      <c r="BG59" t="s">
        <v>348</v>
      </c>
      <c r="BH59">
        <f>SUMPRODUCT(Results[[#This Row],[RegionLocation_Norm]:[PopEmp_Score_Norm]],[1]דירוג!$C$4:$G$4)</f>
        <v>3.1548344667438384</v>
      </c>
      <c r="BI5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25</v>
      </c>
      <c r="BJ5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18</v>
      </c>
      <c r="BK5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20</v>
      </c>
    </row>
    <row r="60" spans="1:63" x14ac:dyDescent="0.2">
      <c r="A60">
        <v>316</v>
      </c>
      <c r="B60">
        <v>34.892131739994902</v>
      </c>
      <c r="C60">
        <v>31.9457298894242</v>
      </c>
      <c r="D60" t="s">
        <v>349</v>
      </c>
      <c r="E60" t="s">
        <v>350</v>
      </c>
      <c r="F60" t="s">
        <v>65</v>
      </c>
      <c r="G60" t="s">
        <v>66</v>
      </c>
      <c r="H60" t="s">
        <v>351</v>
      </c>
      <c r="I60" t="s">
        <v>68</v>
      </c>
      <c r="J60" t="s">
        <v>69</v>
      </c>
      <c r="K60" t="s">
        <v>69</v>
      </c>
      <c r="L60" t="s">
        <v>167</v>
      </c>
      <c r="M60" t="s">
        <v>71</v>
      </c>
      <c r="N60">
        <v>41726.85</v>
      </c>
      <c r="O60">
        <v>13993.76</v>
      </c>
      <c r="P60">
        <v>0.33536583758419303</v>
      </c>
      <c r="Q60">
        <v>2</v>
      </c>
      <c r="R60">
        <v>0</v>
      </c>
      <c r="S60">
        <v>0</v>
      </c>
      <c r="T60">
        <v>0</v>
      </c>
      <c r="U60">
        <v>0</v>
      </c>
      <c r="V60">
        <v>2</v>
      </c>
      <c r="W60">
        <v>0</v>
      </c>
      <c r="X60">
        <v>0</v>
      </c>
      <c r="Y60">
        <v>12662.9149095587</v>
      </c>
      <c r="Z60">
        <v>5587.5915245448996</v>
      </c>
      <c r="AA60">
        <v>21812.449908308699</v>
      </c>
      <c r="AB60">
        <v>10811.954579463099</v>
      </c>
      <c r="AC60">
        <v>14278.488399565</v>
      </c>
      <c r="AD60">
        <v>8340.2611102404298</v>
      </c>
      <c r="AE60">
        <v>48753.853217432603</v>
      </c>
      <c r="AF60">
        <v>24739.807214248402</v>
      </c>
      <c r="AG60">
        <v>0</v>
      </c>
      <c r="AH60">
        <v>2</v>
      </c>
      <c r="AI60">
        <v>0</v>
      </c>
      <c r="AJ60">
        <v>2</v>
      </c>
      <c r="AK60">
        <v>19.8</v>
      </c>
      <c r="AL60">
        <v>0</v>
      </c>
      <c r="AM60" t="s">
        <v>121</v>
      </c>
      <c r="AN60" t="b">
        <v>0</v>
      </c>
      <c r="AO60" t="s">
        <v>121</v>
      </c>
      <c r="AP60">
        <v>0</v>
      </c>
      <c r="AQ60">
        <v>1</v>
      </c>
      <c r="AR60">
        <v>1.3054508056222101</v>
      </c>
      <c r="AS60">
        <v>1</v>
      </c>
      <c r="AT60">
        <v>8.4694274264498794</v>
      </c>
      <c r="AU60">
        <v>3.0813310428105298</v>
      </c>
      <c r="AV60">
        <v>3.1643574116827802</v>
      </c>
      <c r="AW6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12</v>
      </c>
      <c r="AX6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5</v>
      </c>
      <c r="AY60">
        <v>4</v>
      </c>
      <c r="AZ60">
        <v>4</v>
      </c>
      <c r="BA60">
        <v>3.1643574116827802</v>
      </c>
      <c r="BB60">
        <v>73</v>
      </c>
      <c r="BC60">
        <v>12</v>
      </c>
      <c r="BD60">
        <v>4.6204156006414099</v>
      </c>
      <c r="BE60">
        <v>43951.044016795699</v>
      </c>
      <c r="BF60" t="s">
        <v>352</v>
      </c>
      <c r="BG60" t="s">
        <v>353</v>
      </c>
      <c r="BH60">
        <f>SUMPRODUCT(Results[[#This Row],[RegionLocation_Norm]:[PopEmp_Score_Norm]],[1]דירוג!$C$4:$G$4)</f>
        <v>4.9404684931173248</v>
      </c>
      <c r="BI6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</v>
      </c>
      <c r="BJ6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</v>
      </c>
      <c r="BK6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</v>
      </c>
    </row>
    <row r="61" spans="1:63" x14ac:dyDescent="0.2">
      <c r="A61">
        <v>322</v>
      </c>
      <c r="B61">
        <v>34.879194101508297</v>
      </c>
      <c r="C61">
        <v>31.967611866908399</v>
      </c>
      <c r="D61" t="s">
        <v>354</v>
      </c>
      <c r="E61" t="s">
        <v>355</v>
      </c>
      <c r="F61" t="s">
        <v>356</v>
      </c>
      <c r="G61" t="s">
        <v>357</v>
      </c>
      <c r="H61" t="s">
        <v>358</v>
      </c>
      <c r="I61" t="s">
        <v>68</v>
      </c>
      <c r="J61" t="s">
        <v>69</v>
      </c>
      <c r="K61" t="s">
        <v>69</v>
      </c>
      <c r="L61" t="s">
        <v>167</v>
      </c>
      <c r="M61" t="s">
        <v>71</v>
      </c>
      <c r="N61">
        <v>13379.26</v>
      </c>
      <c r="O61">
        <v>6653.15</v>
      </c>
      <c r="P61">
        <v>0.49727339180193803</v>
      </c>
      <c r="Q61">
        <v>2</v>
      </c>
      <c r="R61">
        <v>0</v>
      </c>
      <c r="S61">
        <v>0</v>
      </c>
      <c r="T61">
        <v>0</v>
      </c>
      <c r="U61">
        <v>2</v>
      </c>
      <c r="V61">
        <v>0</v>
      </c>
      <c r="W61">
        <v>0</v>
      </c>
      <c r="X61">
        <v>0</v>
      </c>
      <c r="Y61">
        <v>4631.7633300245798</v>
      </c>
      <c r="Z61">
        <v>2086.6777186783102</v>
      </c>
      <c r="AA61">
        <v>8290.7468982371593</v>
      </c>
      <c r="AB61">
        <v>4019.45396970724</v>
      </c>
      <c r="AC61">
        <v>5493.8319832571797</v>
      </c>
      <c r="AD61">
        <v>4150.5707950775604</v>
      </c>
      <c r="AE61">
        <v>18416.342211518899</v>
      </c>
      <c r="AF61">
        <v>10256.702483463099</v>
      </c>
      <c r="AG61">
        <v>0</v>
      </c>
      <c r="AH61">
        <v>2</v>
      </c>
      <c r="AI61">
        <v>0</v>
      </c>
      <c r="AJ61">
        <v>2</v>
      </c>
      <c r="AK61">
        <v>24.2</v>
      </c>
      <c r="AL61">
        <v>3</v>
      </c>
      <c r="AM61" t="s">
        <v>104</v>
      </c>
      <c r="AN61" t="b">
        <v>0</v>
      </c>
      <c r="AO61" t="s">
        <v>104</v>
      </c>
      <c r="AP61">
        <v>3</v>
      </c>
      <c r="AQ61">
        <v>1</v>
      </c>
      <c r="AR61">
        <v>1.4412067192320801</v>
      </c>
      <c r="AS61">
        <v>10</v>
      </c>
      <c r="AT61">
        <v>3.11259288658069</v>
      </c>
      <c r="AU61">
        <v>1.5389914045458599</v>
      </c>
      <c r="AV61">
        <v>3.3720906727726301</v>
      </c>
      <c r="AW6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27</v>
      </c>
      <c r="AX6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17</v>
      </c>
      <c r="AY61">
        <v>4</v>
      </c>
      <c r="AZ61">
        <v>4</v>
      </c>
      <c r="BA61">
        <v>3.3720906727726301</v>
      </c>
      <c r="BB61">
        <v>64</v>
      </c>
      <c r="BC61">
        <v>27</v>
      </c>
      <c r="BD61">
        <v>4.1264320934912897</v>
      </c>
      <c r="BE61">
        <v>11888.630429074199</v>
      </c>
      <c r="BF61" t="s">
        <v>359</v>
      </c>
      <c r="BG61" t="s">
        <v>360</v>
      </c>
      <c r="BH61">
        <f>SUMPRODUCT(Results[[#This Row],[RegionLocation_Norm]:[PopEmp_Score_Norm]],[1]דירוג!$C$4:$G$4)</f>
        <v>2.7423062259293385</v>
      </c>
      <c r="BI6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44</v>
      </c>
      <c r="BJ6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35</v>
      </c>
      <c r="BK6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47</v>
      </c>
    </row>
    <row r="62" spans="1:63" x14ac:dyDescent="0.2">
      <c r="A62">
        <v>325</v>
      </c>
      <c r="B62">
        <v>34.886606217865697</v>
      </c>
      <c r="C62">
        <v>31.938277043926501</v>
      </c>
      <c r="D62" t="s">
        <v>361</v>
      </c>
      <c r="E62" t="s">
        <v>362</v>
      </c>
      <c r="F62" t="s">
        <v>182</v>
      </c>
      <c r="G62" t="s">
        <v>183</v>
      </c>
      <c r="H62" t="s">
        <v>341</v>
      </c>
      <c r="I62" t="s">
        <v>68</v>
      </c>
      <c r="J62" t="s">
        <v>69</v>
      </c>
      <c r="K62" t="s">
        <v>69</v>
      </c>
      <c r="L62" t="s">
        <v>167</v>
      </c>
      <c r="M62" t="s">
        <v>71</v>
      </c>
      <c r="N62">
        <v>22876.73</v>
      </c>
      <c r="O62">
        <v>2537.3000141000002</v>
      </c>
      <c r="P62">
        <v>0.110911831109603</v>
      </c>
      <c r="Q62">
        <v>10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8701.1872099457996</v>
      </c>
      <c r="Z62">
        <v>6118.7864330986804</v>
      </c>
      <c r="AA62">
        <v>15118.8540978076</v>
      </c>
      <c r="AB62">
        <v>7394.9266312416603</v>
      </c>
      <c r="AC62">
        <v>9978.0181633430293</v>
      </c>
      <c r="AD62">
        <v>3687.7427475392801</v>
      </c>
      <c r="AE62">
        <v>33798.059471096502</v>
      </c>
      <c r="AF62">
        <v>17201.455811879601</v>
      </c>
      <c r="AG62">
        <v>0</v>
      </c>
      <c r="AH62">
        <v>2</v>
      </c>
      <c r="AI62">
        <v>0</v>
      </c>
      <c r="AJ62">
        <v>2</v>
      </c>
      <c r="AK62">
        <v>55</v>
      </c>
      <c r="AL62">
        <v>0</v>
      </c>
      <c r="AM62" t="s">
        <v>121</v>
      </c>
      <c r="AN62" t="b">
        <v>0</v>
      </c>
      <c r="AO62" t="s">
        <v>121</v>
      </c>
      <c r="AP62">
        <v>0</v>
      </c>
      <c r="AQ62">
        <v>1</v>
      </c>
      <c r="AR62">
        <v>2.3914981145012</v>
      </c>
      <c r="AS62">
        <v>1</v>
      </c>
      <c r="AT62">
        <v>7.1898835851026899</v>
      </c>
      <c r="AU62">
        <v>2.43325536405646</v>
      </c>
      <c r="AV62">
        <v>3.0629446451721001</v>
      </c>
      <c r="AW6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14</v>
      </c>
      <c r="AX6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6</v>
      </c>
      <c r="AY62">
        <v>12</v>
      </c>
      <c r="AZ62">
        <v>12</v>
      </c>
      <c r="BA62">
        <v>3.0629446451721001</v>
      </c>
      <c r="BB62">
        <v>79</v>
      </c>
      <c r="BC62">
        <v>14</v>
      </c>
      <c r="BD62">
        <v>4.3593939464999796</v>
      </c>
      <c r="BE62">
        <v>30478.738739253102</v>
      </c>
      <c r="BF62" t="s">
        <v>342</v>
      </c>
      <c r="BG62" t="s">
        <v>363</v>
      </c>
      <c r="BH62">
        <f>SUMPRODUCT(Results[[#This Row],[RegionLocation_Norm]:[PopEmp_Score_Norm]],[1]דירוג!$C$4:$G$4)</f>
        <v>4.533082838312759</v>
      </c>
      <c r="BI6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8</v>
      </c>
      <c r="BJ6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6</v>
      </c>
      <c r="BK6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9</v>
      </c>
    </row>
    <row r="63" spans="1:63" x14ac:dyDescent="0.2">
      <c r="A63">
        <v>327</v>
      </c>
      <c r="B63">
        <v>34.876557284896698</v>
      </c>
      <c r="C63">
        <v>31.927882152830499</v>
      </c>
      <c r="D63" t="s">
        <v>364</v>
      </c>
      <c r="E63" t="s">
        <v>365</v>
      </c>
      <c r="F63" t="s">
        <v>274</v>
      </c>
      <c r="G63" t="s">
        <v>275</v>
      </c>
      <c r="H63" t="s">
        <v>366</v>
      </c>
      <c r="I63" t="s">
        <v>68</v>
      </c>
      <c r="J63" t="s">
        <v>69</v>
      </c>
      <c r="K63" t="s">
        <v>69</v>
      </c>
      <c r="L63" t="s">
        <v>167</v>
      </c>
      <c r="M63" t="s">
        <v>71</v>
      </c>
      <c r="N63">
        <v>58012.539999999899</v>
      </c>
      <c r="O63">
        <v>43312.05</v>
      </c>
      <c r="P63">
        <v>0.74659806310842403</v>
      </c>
      <c r="Q63">
        <v>3</v>
      </c>
      <c r="R63">
        <v>0</v>
      </c>
      <c r="S63">
        <v>0</v>
      </c>
      <c r="T63">
        <v>0</v>
      </c>
      <c r="U63">
        <v>3</v>
      </c>
      <c r="V63">
        <v>3</v>
      </c>
      <c r="W63">
        <v>0</v>
      </c>
      <c r="X63">
        <v>3</v>
      </c>
      <c r="Y63">
        <v>7898.1916754655604</v>
      </c>
      <c r="Z63">
        <v>4261.2832529290999</v>
      </c>
      <c r="AA63">
        <v>13463.511930368701</v>
      </c>
      <c r="AB63">
        <v>7012.4707334649102</v>
      </c>
      <c r="AC63">
        <v>9292.3735538259607</v>
      </c>
      <c r="AD63">
        <v>3830.0929312911699</v>
      </c>
      <c r="AE63">
        <v>30654.077159660301</v>
      </c>
      <c r="AF63">
        <v>15103.846917685099</v>
      </c>
      <c r="AG63">
        <v>0</v>
      </c>
      <c r="AH63">
        <v>2</v>
      </c>
      <c r="AI63">
        <v>0</v>
      </c>
      <c r="AJ63">
        <v>4</v>
      </c>
      <c r="AK63">
        <v>85.8</v>
      </c>
      <c r="AL63">
        <v>2</v>
      </c>
      <c r="AM63" t="s">
        <v>159</v>
      </c>
      <c r="AN63" t="b">
        <v>0</v>
      </c>
      <c r="AO63" t="s">
        <v>159</v>
      </c>
      <c r="AP63">
        <v>2</v>
      </c>
      <c r="AQ63">
        <v>1</v>
      </c>
      <c r="AR63">
        <v>3.3417895097703099</v>
      </c>
      <c r="AS63">
        <v>7</v>
      </c>
      <c r="AT63">
        <v>1</v>
      </c>
      <c r="AU63">
        <v>1.84326366734865</v>
      </c>
      <c r="AV63">
        <v>2.5300618948973801</v>
      </c>
      <c r="AW6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13</v>
      </c>
      <c r="AX6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13</v>
      </c>
      <c r="AY63">
        <v>12</v>
      </c>
      <c r="AZ63">
        <v>12</v>
      </c>
      <c r="BA63">
        <v>2.5300618948973801</v>
      </c>
      <c r="BB63">
        <v>105</v>
      </c>
      <c r="BC63">
        <v>13</v>
      </c>
      <c r="BD63">
        <v>4.7635218808758797</v>
      </c>
      <c r="BE63">
        <v>18213.892966080199</v>
      </c>
      <c r="BF63" t="s">
        <v>367</v>
      </c>
      <c r="BG63" t="s">
        <v>368</v>
      </c>
      <c r="BH63">
        <f>SUMPRODUCT(Results[[#This Row],[RegionLocation_Norm]:[PopEmp_Score_Norm]],[1]דירוג!$C$4:$G$4)</f>
        <v>2.1098386069092165</v>
      </c>
      <c r="BI6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14</v>
      </c>
      <c r="BJ6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14</v>
      </c>
      <c r="BK6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14</v>
      </c>
    </row>
    <row r="64" spans="1:63" x14ac:dyDescent="0.2">
      <c r="A64">
        <v>339</v>
      </c>
      <c r="B64">
        <v>34.817333312297201</v>
      </c>
      <c r="C64">
        <v>31.8693563235163</v>
      </c>
      <c r="D64" t="s">
        <v>369</v>
      </c>
      <c r="E64" t="s">
        <v>370</v>
      </c>
      <c r="F64" t="s">
        <v>371</v>
      </c>
      <c r="G64" t="s">
        <v>372</v>
      </c>
      <c r="H64" t="s">
        <v>373</v>
      </c>
      <c r="I64" t="s">
        <v>68</v>
      </c>
      <c r="J64" t="s">
        <v>69</v>
      </c>
      <c r="K64" t="s">
        <v>69</v>
      </c>
      <c r="L64" t="s">
        <v>167</v>
      </c>
      <c r="M64" t="s">
        <v>71</v>
      </c>
      <c r="N64">
        <v>115932.45</v>
      </c>
      <c r="O64">
        <v>91919.9</v>
      </c>
      <c r="P64">
        <v>0.79287464381197803</v>
      </c>
      <c r="Q64">
        <v>1</v>
      </c>
      <c r="R64">
        <v>0</v>
      </c>
      <c r="S64">
        <v>0</v>
      </c>
      <c r="T64">
        <v>0</v>
      </c>
      <c r="U64">
        <v>0</v>
      </c>
      <c r="V64">
        <v>1</v>
      </c>
      <c r="W64">
        <v>2</v>
      </c>
      <c r="X64">
        <v>0</v>
      </c>
      <c r="Y64">
        <v>7611.2153042527098</v>
      </c>
      <c r="Z64">
        <v>7217.0413321242304</v>
      </c>
      <c r="AA64">
        <v>12201.259660314099</v>
      </c>
      <c r="AB64">
        <v>3248.1211102699499</v>
      </c>
      <c r="AC64">
        <v>9144.45760196638</v>
      </c>
      <c r="AD64">
        <v>2188.4294224976202</v>
      </c>
      <c r="AE64">
        <v>28956.9325665332</v>
      </c>
      <c r="AF64">
        <v>12653.5918648918</v>
      </c>
      <c r="AG64">
        <v>0</v>
      </c>
      <c r="AH64">
        <v>2</v>
      </c>
      <c r="AI64">
        <v>0</v>
      </c>
      <c r="AJ64">
        <v>3</v>
      </c>
      <c r="AK64">
        <v>25.2</v>
      </c>
      <c r="AL64">
        <v>3</v>
      </c>
      <c r="AM64" t="s">
        <v>104</v>
      </c>
      <c r="AN64" t="b">
        <v>0</v>
      </c>
      <c r="AO64" t="s">
        <v>104</v>
      </c>
      <c r="AP64">
        <v>3</v>
      </c>
      <c r="AQ64">
        <v>1</v>
      </c>
      <c r="AR64">
        <v>1.4720603359616</v>
      </c>
      <c r="AS64">
        <v>10</v>
      </c>
      <c r="AT64">
        <v>7.8730045380386997</v>
      </c>
      <c r="AU64">
        <v>1.7326414567252799</v>
      </c>
      <c r="AV64">
        <v>4.4487797137657896</v>
      </c>
      <c r="AW6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12</v>
      </c>
      <c r="AX6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6</v>
      </c>
      <c r="AY64">
        <v>4</v>
      </c>
      <c r="AZ64">
        <v>4</v>
      </c>
      <c r="BA64">
        <v>4.4487797137657896</v>
      </c>
      <c r="BB64">
        <v>34</v>
      </c>
      <c r="BC64">
        <v>11</v>
      </c>
      <c r="BD64">
        <v>5.06420501390516</v>
      </c>
      <c r="BE64">
        <v>15914.2600052201</v>
      </c>
      <c r="BF64" t="s">
        <v>374</v>
      </c>
      <c r="BG64" t="s">
        <v>375</v>
      </c>
      <c r="BH64">
        <f>SUMPRODUCT(Results[[#This Row],[RegionLocation_Norm]:[PopEmp_Score_Norm]],[1]דירוג!$C$4:$G$4)</f>
        <v>5.0530616827129062</v>
      </c>
      <c r="BI6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15</v>
      </c>
      <c r="BJ6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12</v>
      </c>
      <c r="BK6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12</v>
      </c>
    </row>
    <row r="65" spans="1:63" x14ac:dyDescent="0.2">
      <c r="A65">
        <v>342</v>
      </c>
      <c r="B65">
        <v>34.786311410034003</v>
      </c>
      <c r="C65">
        <v>31.966411712909299</v>
      </c>
      <c r="D65" t="s">
        <v>376</v>
      </c>
      <c r="E65" t="s">
        <v>377</v>
      </c>
      <c r="F65" t="s">
        <v>378</v>
      </c>
      <c r="G65" t="s">
        <v>379</v>
      </c>
      <c r="H65" t="s">
        <v>380</v>
      </c>
      <c r="I65" t="s">
        <v>68</v>
      </c>
      <c r="J65" t="s">
        <v>69</v>
      </c>
      <c r="K65" t="s">
        <v>69</v>
      </c>
      <c r="L65" t="s">
        <v>167</v>
      </c>
      <c r="M65" t="s">
        <v>71</v>
      </c>
      <c r="N65">
        <v>27338.186099999999</v>
      </c>
      <c r="O65">
        <v>22307.576099999998</v>
      </c>
      <c r="P65">
        <v>0.81598596258001099</v>
      </c>
      <c r="Q65">
        <v>4</v>
      </c>
      <c r="R65">
        <v>0</v>
      </c>
      <c r="S65">
        <v>0</v>
      </c>
      <c r="T65">
        <v>0</v>
      </c>
      <c r="U65">
        <v>0</v>
      </c>
      <c r="V65">
        <v>5</v>
      </c>
      <c r="W65">
        <v>0</v>
      </c>
      <c r="X65">
        <v>0</v>
      </c>
      <c r="Y65">
        <v>14722.121411328601</v>
      </c>
      <c r="Z65">
        <v>3257.0224700680301</v>
      </c>
      <c r="AA65">
        <v>22284.793566645501</v>
      </c>
      <c r="AB65">
        <v>4969.2044254585899</v>
      </c>
      <c r="AC65">
        <v>14055.8635905309</v>
      </c>
      <c r="AD65">
        <v>3074.9655079942099</v>
      </c>
      <c r="AE65">
        <v>51062.7785685052</v>
      </c>
      <c r="AF65">
        <v>11301.192403520799</v>
      </c>
      <c r="AG65">
        <v>0</v>
      </c>
      <c r="AH65">
        <v>2</v>
      </c>
      <c r="AI65">
        <v>0</v>
      </c>
      <c r="AJ65">
        <v>2</v>
      </c>
      <c r="AK65">
        <v>45.1</v>
      </c>
      <c r="AL65">
        <v>3</v>
      </c>
      <c r="AM65" t="s">
        <v>121</v>
      </c>
      <c r="AN65" t="b">
        <v>0</v>
      </c>
      <c r="AO65" t="s">
        <v>121</v>
      </c>
      <c r="AP65">
        <v>3</v>
      </c>
      <c r="AQ65">
        <v>1</v>
      </c>
      <c r="AR65">
        <v>2.0860473088789799</v>
      </c>
      <c r="AS65">
        <v>10</v>
      </c>
      <c r="AT65">
        <v>7.5691841589034201</v>
      </c>
      <c r="AU65">
        <v>3.0408954098211001</v>
      </c>
      <c r="AV65">
        <v>5.0729750969191896</v>
      </c>
      <c r="AW6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</v>
      </c>
      <c r="AX6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65">
        <v>9</v>
      </c>
      <c r="AZ65">
        <v>9</v>
      </c>
      <c r="BA65">
        <v>5.0729750969191896</v>
      </c>
      <c r="BB65">
        <v>22</v>
      </c>
      <c r="BC65">
        <v>4</v>
      </c>
      <c r="BD65">
        <v>4.4367696955684996</v>
      </c>
      <c r="BE65">
        <v>43110.461335508298</v>
      </c>
      <c r="BF65" t="s">
        <v>381</v>
      </c>
      <c r="BG65" t="s">
        <v>382</v>
      </c>
      <c r="BH65">
        <f>SUMPRODUCT(Results[[#This Row],[RegionLocation_Norm]:[PopEmp_Score_Norm]],[1]דירוג!$C$4:$G$4)</f>
        <v>5.2560733106271718</v>
      </c>
      <c r="BI6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</v>
      </c>
      <c r="BJ6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6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6</v>
      </c>
    </row>
    <row r="66" spans="1:63" x14ac:dyDescent="0.2">
      <c r="A66">
        <v>344</v>
      </c>
      <c r="B66">
        <v>34.792845120472698</v>
      </c>
      <c r="C66">
        <v>31.964745203001101</v>
      </c>
      <c r="D66" t="s">
        <v>383</v>
      </c>
      <c r="E66" t="s">
        <v>384</v>
      </c>
      <c r="F66" t="s">
        <v>378</v>
      </c>
      <c r="G66" t="s">
        <v>379</v>
      </c>
      <c r="H66" t="s">
        <v>385</v>
      </c>
      <c r="I66" t="s">
        <v>68</v>
      </c>
      <c r="J66" t="s">
        <v>69</v>
      </c>
      <c r="K66" t="s">
        <v>69</v>
      </c>
      <c r="L66" t="s">
        <v>167</v>
      </c>
      <c r="M66" t="s">
        <v>71</v>
      </c>
      <c r="N66">
        <v>17317.9692</v>
      </c>
      <c r="O66">
        <v>1834.9092230000001</v>
      </c>
      <c r="P66">
        <v>0.105954064348376</v>
      </c>
      <c r="Q66">
        <v>6</v>
      </c>
      <c r="R66">
        <v>0</v>
      </c>
      <c r="S66">
        <v>0</v>
      </c>
      <c r="T66">
        <v>0</v>
      </c>
      <c r="U66">
        <v>0</v>
      </c>
      <c r="V66">
        <v>8</v>
      </c>
      <c r="W66">
        <v>0</v>
      </c>
      <c r="X66">
        <v>0</v>
      </c>
      <c r="Y66">
        <v>18299.1544243098</v>
      </c>
      <c r="Z66">
        <v>4448.5009940534901</v>
      </c>
      <c r="AA66">
        <v>25582.102422560201</v>
      </c>
      <c r="AB66">
        <v>10114.6302676666</v>
      </c>
      <c r="AC66">
        <v>17398.244617064898</v>
      </c>
      <c r="AD66">
        <v>7396.3635419431803</v>
      </c>
      <c r="AE66">
        <v>61279.501463935099</v>
      </c>
      <c r="AF66">
        <v>21959.4948036633</v>
      </c>
      <c r="AG66">
        <v>0</v>
      </c>
      <c r="AH66">
        <v>2</v>
      </c>
      <c r="AI66">
        <v>0</v>
      </c>
      <c r="AJ66">
        <v>2</v>
      </c>
      <c r="AK66">
        <v>70.400000000000006</v>
      </c>
      <c r="AL66">
        <v>0</v>
      </c>
      <c r="AM66" t="s">
        <v>121</v>
      </c>
      <c r="AN66" t="b">
        <v>0</v>
      </c>
      <c r="AO66" t="s">
        <v>121</v>
      </c>
      <c r="AP66">
        <v>0</v>
      </c>
      <c r="AQ66">
        <v>1</v>
      </c>
      <c r="AR66">
        <v>2.86664381213575</v>
      </c>
      <c r="AS66">
        <v>1</v>
      </c>
      <c r="AT66">
        <v>6.5972393031875303</v>
      </c>
      <c r="AU66">
        <v>3.5366119835598702</v>
      </c>
      <c r="AV66">
        <v>3.51426006075509</v>
      </c>
      <c r="AW6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9</v>
      </c>
      <c r="AX6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</v>
      </c>
      <c r="AY66">
        <v>14</v>
      </c>
      <c r="AZ66">
        <v>14</v>
      </c>
      <c r="BA66">
        <v>3.51426006075509</v>
      </c>
      <c r="BB66">
        <v>56</v>
      </c>
      <c r="BC66">
        <v>9</v>
      </c>
      <c r="BD66">
        <v>4.2384969629155096</v>
      </c>
      <c r="BE66">
        <v>53415.500131880697</v>
      </c>
      <c r="BF66" t="s">
        <v>386</v>
      </c>
      <c r="BG66" t="s">
        <v>387</v>
      </c>
      <c r="BH66">
        <f>SUMPRODUCT(Results[[#This Row],[RegionLocation_Norm]:[PopEmp_Score_Norm]],[1]דירוג!$C$4:$G$4)</f>
        <v>4.5319299257272503</v>
      </c>
      <c r="BI6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9</v>
      </c>
      <c r="BJ6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7</v>
      </c>
      <c r="BK6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15</v>
      </c>
    </row>
    <row r="67" spans="1:63" x14ac:dyDescent="0.2">
      <c r="A67">
        <v>349</v>
      </c>
      <c r="B67">
        <v>34.8019687719882</v>
      </c>
      <c r="C67">
        <v>31.949325766300301</v>
      </c>
      <c r="D67" t="s">
        <v>388</v>
      </c>
      <c r="E67" t="s">
        <v>389</v>
      </c>
      <c r="F67" t="s">
        <v>229</v>
      </c>
      <c r="G67" t="s">
        <v>230</v>
      </c>
      <c r="H67" t="s">
        <v>390</v>
      </c>
      <c r="I67" t="s">
        <v>68</v>
      </c>
      <c r="J67" t="s">
        <v>69</v>
      </c>
      <c r="K67" t="s">
        <v>69</v>
      </c>
      <c r="L67" t="s">
        <v>167</v>
      </c>
      <c r="M67" t="s">
        <v>71</v>
      </c>
      <c r="N67">
        <v>44308.160000000003</v>
      </c>
      <c r="O67">
        <v>27181.06</v>
      </c>
      <c r="P67">
        <v>0.61345494825332403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4</v>
      </c>
      <c r="X67">
        <v>2</v>
      </c>
      <c r="Y67">
        <v>8577.2652825385194</v>
      </c>
      <c r="Z67">
        <v>2047.71007956988</v>
      </c>
      <c r="AA67">
        <v>17493.513631399899</v>
      </c>
      <c r="AB67">
        <v>3668.8930737358301</v>
      </c>
      <c r="AC67">
        <v>12006.6510611375</v>
      </c>
      <c r="AD67">
        <v>2725.27175490219</v>
      </c>
      <c r="AE67">
        <v>38077.429975075996</v>
      </c>
      <c r="AF67">
        <v>8441.8749082079194</v>
      </c>
      <c r="AG67">
        <v>0</v>
      </c>
      <c r="AH67">
        <v>2</v>
      </c>
      <c r="AI67">
        <v>0</v>
      </c>
      <c r="AJ67">
        <v>2</v>
      </c>
      <c r="AK67">
        <v>39.6</v>
      </c>
      <c r="AL67">
        <v>2</v>
      </c>
      <c r="AM67" t="s">
        <v>104</v>
      </c>
      <c r="AN67" t="b">
        <v>0</v>
      </c>
      <c r="AO67" t="s">
        <v>104</v>
      </c>
      <c r="AP67">
        <v>2</v>
      </c>
      <c r="AQ67">
        <v>1</v>
      </c>
      <c r="AR67">
        <v>1.9163524168666399</v>
      </c>
      <c r="AS67">
        <v>7</v>
      </c>
      <c r="AT67">
        <v>5.7525281480733899</v>
      </c>
      <c r="AU67">
        <v>1.6583071442238799</v>
      </c>
      <c r="AV67">
        <v>3.4860758869256401</v>
      </c>
      <c r="AW6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24</v>
      </c>
      <c r="AX6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14</v>
      </c>
      <c r="AY67">
        <v>6</v>
      </c>
      <c r="AZ67">
        <v>6</v>
      </c>
      <c r="BA67">
        <v>3.4860758869256401</v>
      </c>
      <c r="BB67">
        <v>58</v>
      </c>
      <c r="BC67">
        <v>23</v>
      </c>
      <c r="BD67">
        <v>4.6464837153117102</v>
      </c>
      <c r="BE67">
        <v>14368.985921581499</v>
      </c>
      <c r="BF67" t="s">
        <v>391</v>
      </c>
      <c r="BG67" t="s">
        <v>392</v>
      </c>
      <c r="BH67">
        <f>SUMPRODUCT(Results[[#This Row],[RegionLocation_Norm]:[PopEmp_Score_Norm]],[1]דירוג!$C$4:$G$4)</f>
        <v>3.9695446527970595</v>
      </c>
      <c r="BI6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28</v>
      </c>
      <c r="BJ6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24</v>
      </c>
      <c r="BK6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29</v>
      </c>
    </row>
    <row r="68" spans="1:63" x14ac:dyDescent="0.2">
      <c r="A68">
        <v>362</v>
      </c>
      <c r="B68">
        <v>34.829901811458797</v>
      </c>
      <c r="C68">
        <v>31.964780419339199</v>
      </c>
      <c r="D68" t="s">
        <v>393</v>
      </c>
      <c r="E68" t="s">
        <v>394</v>
      </c>
      <c r="F68" t="s">
        <v>118</v>
      </c>
      <c r="G68" t="s">
        <v>119</v>
      </c>
      <c r="H68" t="s">
        <v>395</v>
      </c>
      <c r="I68" t="s">
        <v>68</v>
      </c>
      <c r="J68" t="s">
        <v>69</v>
      </c>
      <c r="K68" t="s">
        <v>69</v>
      </c>
      <c r="L68" t="s">
        <v>167</v>
      </c>
      <c r="M68" t="s">
        <v>71</v>
      </c>
      <c r="N68">
        <v>4837.68</v>
      </c>
      <c r="O68">
        <v>4.8076E-4</v>
      </c>
      <c r="P68" s="1">
        <v>9.9378214350680402E-8</v>
      </c>
      <c r="Q68">
        <v>3</v>
      </c>
      <c r="R68">
        <v>0</v>
      </c>
      <c r="S68">
        <v>0</v>
      </c>
      <c r="T68">
        <v>0</v>
      </c>
      <c r="U68">
        <v>0</v>
      </c>
      <c r="V68">
        <v>7</v>
      </c>
      <c r="W68">
        <v>0</v>
      </c>
      <c r="X68">
        <v>0</v>
      </c>
      <c r="Y68">
        <v>8040.1884692555996</v>
      </c>
      <c r="Z68">
        <v>1760.48508634665</v>
      </c>
      <c r="AA68">
        <v>14709.7210619611</v>
      </c>
      <c r="AB68">
        <v>5978.0012863384</v>
      </c>
      <c r="AC68">
        <v>12568.9125595531</v>
      </c>
      <c r="AD68">
        <v>6186.8831828397297</v>
      </c>
      <c r="AE68">
        <v>35318.822090769798</v>
      </c>
      <c r="AF68">
        <v>13925.3695555247</v>
      </c>
      <c r="AG68">
        <v>0</v>
      </c>
      <c r="AH68">
        <v>2</v>
      </c>
      <c r="AI68">
        <v>0</v>
      </c>
      <c r="AJ68">
        <v>2</v>
      </c>
      <c r="AK68">
        <v>51.7</v>
      </c>
      <c r="AL68">
        <v>0</v>
      </c>
      <c r="AM68" t="s">
        <v>121</v>
      </c>
      <c r="AN68" t="b">
        <v>0</v>
      </c>
      <c r="AO68" t="s">
        <v>121</v>
      </c>
      <c r="AP68">
        <v>0</v>
      </c>
      <c r="AQ68">
        <v>1</v>
      </c>
      <c r="AR68">
        <v>2.2896811792937899</v>
      </c>
      <c r="AS68">
        <v>1</v>
      </c>
      <c r="AT68">
        <v>3.8821851407877102</v>
      </c>
      <c r="AU68">
        <v>2.4602607681971</v>
      </c>
      <c r="AV68">
        <v>2.3201407600522899</v>
      </c>
      <c r="AW6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29</v>
      </c>
      <c r="AX6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19</v>
      </c>
      <c r="AY68">
        <v>10</v>
      </c>
      <c r="AZ68">
        <v>10</v>
      </c>
      <c r="BA68">
        <v>2.3201407600522899</v>
      </c>
      <c r="BB68">
        <v>115</v>
      </c>
      <c r="BC68">
        <v>29</v>
      </c>
      <c r="BD68">
        <v>3.6846371375209999</v>
      </c>
      <c r="BE68">
        <v>31040.131583720799</v>
      </c>
      <c r="BF68" t="s">
        <v>396</v>
      </c>
      <c r="BG68" t="s">
        <v>397</v>
      </c>
      <c r="BH68">
        <f>SUMPRODUCT(Results[[#This Row],[RegionLocation_Norm]:[PopEmp_Score_Norm]],[1]דירוג!$C$4:$G$4)</f>
        <v>2.9281643436645393</v>
      </c>
      <c r="BI6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26</v>
      </c>
      <c r="BJ6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19</v>
      </c>
      <c r="BK6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23</v>
      </c>
    </row>
    <row r="69" spans="1:63" x14ac:dyDescent="0.2">
      <c r="A69">
        <v>363</v>
      </c>
      <c r="B69">
        <v>34.826919383537003</v>
      </c>
      <c r="C69">
        <v>31.9611504966376</v>
      </c>
      <c r="D69" t="s">
        <v>398</v>
      </c>
      <c r="E69" t="s">
        <v>399</v>
      </c>
      <c r="F69" t="s">
        <v>65</v>
      </c>
      <c r="G69" t="s">
        <v>66</v>
      </c>
      <c r="H69" t="s">
        <v>400</v>
      </c>
      <c r="I69" t="s">
        <v>68</v>
      </c>
      <c r="J69" t="s">
        <v>69</v>
      </c>
      <c r="K69" t="s">
        <v>69</v>
      </c>
      <c r="L69" t="s">
        <v>167</v>
      </c>
      <c r="M69" t="s">
        <v>71</v>
      </c>
      <c r="N69">
        <v>2809.22</v>
      </c>
      <c r="O69">
        <v>11.247070000000001</v>
      </c>
      <c r="P69">
        <v>4.0036273413972499E-3</v>
      </c>
      <c r="Q69">
        <v>3</v>
      </c>
      <c r="R69">
        <v>0</v>
      </c>
      <c r="S69">
        <v>0</v>
      </c>
      <c r="T69">
        <v>0</v>
      </c>
      <c r="U69">
        <v>0</v>
      </c>
      <c r="V69">
        <v>3</v>
      </c>
      <c r="W69">
        <v>0</v>
      </c>
      <c r="X69">
        <v>0</v>
      </c>
      <c r="Y69">
        <v>9168.8082982386604</v>
      </c>
      <c r="Z69">
        <v>1819.4306397686601</v>
      </c>
      <c r="AA69">
        <v>19981.6652856855</v>
      </c>
      <c r="AB69">
        <v>5381.8316609496096</v>
      </c>
      <c r="AC69">
        <v>15234.9333278838</v>
      </c>
      <c r="AD69">
        <v>6970.43764102353</v>
      </c>
      <c r="AE69">
        <v>44385.406911807899</v>
      </c>
      <c r="AF69">
        <v>14171.699941741799</v>
      </c>
      <c r="AG69">
        <v>0</v>
      </c>
      <c r="AH69">
        <v>2</v>
      </c>
      <c r="AI69">
        <v>0</v>
      </c>
      <c r="AJ69">
        <v>2</v>
      </c>
      <c r="AK69">
        <v>29.7</v>
      </c>
      <c r="AL69">
        <v>0</v>
      </c>
      <c r="AM69" t="s">
        <v>121</v>
      </c>
      <c r="AN69" t="b">
        <v>0</v>
      </c>
      <c r="AO69" t="s">
        <v>121</v>
      </c>
      <c r="AP69">
        <v>0</v>
      </c>
      <c r="AQ69">
        <v>1</v>
      </c>
      <c r="AR69">
        <v>1.6109016112444201</v>
      </c>
      <c r="AS69">
        <v>1</v>
      </c>
      <c r="AT69">
        <v>2.7250470558610602</v>
      </c>
      <c r="AU69">
        <v>2.8115439775999098</v>
      </c>
      <c r="AV69">
        <v>1.9542612139513</v>
      </c>
      <c r="AW6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31</v>
      </c>
      <c r="AX6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21</v>
      </c>
      <c r="AY69">
        <v>6</v>
      </c>
      <c r="AZ69">
        <v>6</v>
      </c>
      <c r="BA69">
        <v>1.9542612139513</v>
      </c>
      <c r="BB69">
        <v>125</v>
      </c>
      <c r="BC69">
        <v>31</v>
      </c>
      <c r="BD69">
        <v>3.4485857516774399</v>
      </c>
      <c r="BE69">
        <v>38342.665517794703</v>
      </c>
      <c r="BF69" t="s">
        <v>401</v>
      </c>
      <c r="BG69" t="s">
        <v>402</v>
      </c>
      <c r="BH69">
        <f>SUMPRODUCT(Results[[#This Row],[RegionLocation_Norm]:[PopEmp_Score_Norm]],[1]דירוג!$C$4:$G$4)</f>
        <v>2.2399314422352119</v>
      </c>
      <c r="BI6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30</v>
      </c>
      <c r="BJ6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21</v>
      </c>
      <c r="BK6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30</v>
      </c>
    </row>
    <row r="70" spans="1:63" x14ac:dyDescent="0.2">
      <c r="A70">
        <v>364</v>
      </c>
      <c r="B70">
        <v>34.841431272299502</v>
      </c>
      <c r="C70">
        <v>31.9687359927273</v>
      </c>
      <c r="D70" t="s">
        <v>403</v>
      </c>
      <c r="E70" t="s">
        <v>404</v>
      </c>
      <c r="F70" t="s">
        <v>182</v>
      </c>
      <c r="G70" t="s">
        <v>183</v>
      </c>
      <c r="H70" t="s">
        <v>405</v>
      </c>
      <c r="I70" t="s">
        <v>68</v>
      </c>
      <c r="J70" t="s">
        <v>69</v>
      </c>
      <c r="K70" t="s">
        <v>69</v>
      </c>
      <c r="L70" t="s">
        <v>167</v>
      </c>
      <c r="M70" t="s">
        <v>71</v>
      </c>
      <c r="N70">
        <v>28168.229200000002</v>
      </c>
      <c r="O70">
        <v>24522.74</v>
      </c>
      <c r="P70">
        <v>0.87058152736132899</v>
      </c>
      <c r="Q70">
        <v>5.5</v>
      </c>
      <c r="R70">
        <v>0</v>
      </c>
      <c r="S70">
        <v>0</v>
      </c>
      <c r="T70">
        <v>0</v>
      </c>
      <c r="U70">
        <v>0</v>
      </c>
      <c r="V70">
        <v>1.5</v>
      </c>
      <c r="W70">
        <v>0</v>
      </c>
      <c r="X70">
        <v>0</v>
      </c>
      <c r="Y70">
        <v>4407.7987893006803</v>
      </c>
      <c r="Z70">
        <v>5038.8671165576097</v>
      </c>
      <c r="AA70">
        <v>9110.0860699159894</v>
      </c>
      <c r="AB70">
        <v>6772.9484160972797</v>
      </c>
      <c r="AC70">
        <v>6566.4732895949601</v>
      </c>
      <c r="AD70">
        <v>4166.2764359958101</v>
      </c>
      <c r="AE70">
        <v>20084.3581488116</v>
      </c>
      <c r="AF70">
        <v>15978.0919686507</v>
      </c>
      <c r="AG70">
        <v>0</v>
      </c>
      <c r="AH70">
        <v>2</v>
      </c>
      <c r="AI70">
        <v>0</v>
      </c>
      <c r="AJ70">
        <v>2</v>
      </c>
      <c r="AK70">
        <v>32.450000000000003</v>
      </c>
      <c r="AL70">
        <v>0</v>
      </c>
      <c r="AM70" t="s">
        <v>121</v>
      </c>
      <c r="AN70" t="b">
        <v>0</v>
      </c>
      <c r="AO70" t="s">
        <v>121</v>
      </c>
      <c r="AP70">
        <v>0</v>
      </c>
      <c r="AQ70">
        <v>1</v>
      </c>
      <c r="AR70">
        <v>1.6957490572506</v>
      </c>
      <c r="AS70">
        <v>1</v>
      </c>
      <c r="AT70">
        <v>7.6328611859659699</v>
      </c>
      <c r="AU70">
        <v>1.8937352630040301</v>
      </c>
      <c r="AV70">
        <v>2.7182269257161602</v>
      </c>
      <c r="AW7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21</v>
      </c>
      <c r="AX7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11</v>
      </c>
      <c r="AY70">
        <v>7</v>
      </c>
      <c r="AZ70">
        <v>7</v>
      </c>
      <c r="BA70">
        <v>2.7182269257161602</v>
      </c>
      <c r="BB70">
        <v>96</v>
      </c>
      <c r="BC70">
        <v>21</v>
      </c>
      <c r="BD70">
        <v>4.4497595458554402</v>
      </c>
      <c r="BE70">
        <v>19263.104912779399</v>
      </c>
      <c r="BF70" t="s">
        <v>406</v>
      </c>
      <c r="BG70" t="s">
        <v>407</v>
      </c>
      <c r="BH70">
        <f>SUMPRODUCT(Results[[#This Row],[RegionLocation_Norm]:[PopEmp_Score_Norm]],[1]דירוג!$C$4:$G$4)</f>
        <v>4.4812848429642065</v>
      </c>
      <c r="BI7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11</v>
      </c>
      <c r="BJ7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8</v>
      </c>
      <c r="BK7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</v>
      </c>
    </row>
    <row r="71" spans="1:63" x14ac:dyDescent="0.2">
      <c r="A71">
        <v>377</v>
      </c>
      <c r="B71">
        <v>34.817823521804399</v>
      </c>
      <c r="C71">
        <v>31.962720400365999</v>
      </c>
      <c r="D71" t="s">
        <v>408</v>
      </c>
      <c r="E71" t="s">
        <v>409</v>
      </c>
      <c r="F71" t="s">
        <v>65</v>
      </c>
      <c r="G71" t="s">
        <v>66</v>
      </c>
      <c r="H71" t="s">
        <v>400</v>
      </c>
      <c r="I71" t="s">
        <v>68</v>
      </c>
      <c r="J71" t="s">
        <v>69</v>
      </c>
      <c r="K71" t="s">
        <v>69</v>
      </c>
      <c r="L71" t="s">
        <v>167</v>
      </c>
      <c r="M71" t="s">
        <v>71</v>
      </c>
      <c r="N71">
        <v>6384.15</v>
      </c>
      <c r="O71">
        <v>619.77459999999996</v>
      </c>
      <c r="P71">
        <v>9.7080206448783304E-2</v>
      </c>
      <c r="Q71">
        <v>3</v>
      </c>
      <c r="R71">
        <v>0</v>
      </c>
      <c r="S71">
        <v>0</v>
      </c>
      <c r="T71">
        <v>0</v>
      </c>
      <c r="U71">
        <v>0</v>
      </c>
      <c r="V71">
        <v>3</v>
      </c>
      <c r="W71">
        <v>0</v>
      </c>
      <c r="X71">
        <v>0</v>
      </c>
      <c r="Y71">
        <v>20008.532622310198</v>
      </c>
      <c r="Z71">
        <v>7659.9519572791096</v>
      </c>
      <c r="AA71">
        <v>30386.656099756001</v>
      </c>
      <c r="AB71">
        <v>9399.1515016228095</v>
      </c>
      <c r="AC71">
        <v>20170.975039481898</v>
      </c>
      <c r="AD71">
        <v>5517.4514493339502</v>
      </c>
      <c r="AE71">
        <v>70566.163761548203</v>
      </c>
      <c r="AF71">
        <v>22576.554908235801</v>
      </c>
      <c r="AG71">
        <v>0</v>
      </c>
      <c r="AH71">
        <v>2</v>
      </c>
      <c r="AI71">
        <v>0</v>
      </c>
      <c r="AJ71">
        <v>2</v>
      </c>
      <c r="AK71">
        <v>29.7</v>
      </c>
      <c r="AL71">
        <v>0</v>
      </c>
      <c r="AM71" t="s">
        <v>121</v>
      </c>
      <c r="AN71" t="b">
        <v>0</v>
      </c>
      <c r="AO71" t="s">
        <v>121</v>
      </c>
      <c r="AP71">
        <v>0</v>
      </c>
      <c r="AQ71">
        <v>1</v>
      </c>
      <c r="AR71">
        <v>1.6109016112444201</v>
      </c>
      <c r="AS71">
        <v>1</v>
      </c>
      <c r="AT71">
        <v>4.4727164455957498</v>
      </c>
      <c r="AU71">
        <v>3.8999312675199902</v>
      </c>
      <c r="AV71">
        <v>2.8129147824310201</v>
      </c>
      <c r="AW7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20</v>
      </c>
      <c r="AX7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10</v>
      </c>
      <c r="AY71">
        <v>6</v>
      </c>
      <c r="AZ71">
        <v>6</v>
      </c>
      <c r="BA71">
        <v>2.8129147824310201</v>
      </c>
      <c r="BB71">
        <v>91</v>
      </c>
      <c r="BC71">
        <v>20</v>
      </c>
      <c r="BD71">
        <v>3.8051030825104299</v>
      </c>
      <c r="BE71">
        <v>60968.241990885697</v>
      </c>
      <c r="BF71" t="s">
        <v>401</v>
      </c>
      <c r="BG71" t="s">
        <v>410</v>
      </c>
      <c r="BH71">
        <f>SUMPRODUCT(Results[[#This Row],[RegionLocation_Norm]:[PopEmp_Score_Norm]],[1]דירוג!$C$4:$G$4)</f>
        <v>3.2266032438272854</v>
      </c>
      <c r="BI7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24</v>
      </c>
      <c r="BJ7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17</v>
      </c>
      <c r="BK7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21</v>
      </c>
    </row>
    <row r="72" spans="1:63" x14ac:dyDescent="0.2">
      <c r="A72">
        <v>378</v>
      </c>
      <c r="B72">
        <v>34.823032821535698</v>
      </c>
      <c r="C72">
        <v>31.961641173665701</v>
      </c>
      <c r="D72" t="s">
        <v>411</v>
      </c>
      <c r="E72" t="s">
        <v>412</v>
      </c>
      <c r="F72" t="s">
        <v>65</v>
      </c>
      <c r="G72" t="s">
        <v>66</v>
      </c>
      <c r="H72" t="s">
        <v>400</v>
      </c>
      <c r="I72" t="s">
        <v>68</v>
      </c>
      <c r="J72" t="s">
        <v>69</v>
      </c>
      <c r="K72" t="s">
        <v>69</v>
      </c>
      <c r="L72" t="s">
        <v>167</v>
      </c>
      <c r="M72" t="s">
        <v>71</v>
      </c>
      <c r="N72">
        <v>11253.73</v>
      </c>
      <c r="O72">
        <v>1932.89</v>
      </c>
      <c r="P72">
        <v>0.1717554979549</v>
      </c>
      <c r="Q72">
        <v>3</v>
      </c>
      <c r="R72">
        <v>0</v>
      </c>
      <c r="S72">
        <v>0</v>
      </c>
      <c r="T72">
        <v>0</v>
      </c>
      <c r="U72">
        <v>0</v>
      </c>
      <c r="V72">
        <v>3</v>
      </c>
      <c r="W72">
        <v>0</v>
      </c>
      <c r="X72">
        <v>0</v>
      </c>
      <c r="Y72">
        <v>11538.099260045799</v>
      </c>
      <c r="Z72">
        <v>2477.8441151145598</v>
      </c>
      <c r="AA72">
        <v>25870.6810146465</v>
      </c>
      <c r="AB72">
        <v>8536.1913444774109</v>
      </c>
      <c r="AC72">
        <v>17043.4501866139</v>
      </c>
      <c r="AD72">
        <v>4931.9289495616504</v>
      </c>
      <c r="AE72">
        <v>54452.230461306302</v>
      </c>
      <c r="AF72">
        <v>15945.964409153599</v>
      </c>
      <c r="AG72">
        <v>0</v>
      </c>
      <c r="AH72">
        <v>2</v>
      </c>
      <c r="AI72">
        <v>0</v>
      </c>
      <c r="AJ72">
        <v>2</v>
      </c>
      <c r="AK72">
        <v>29.7</v>
      </c>
      <c r="AL72">
        <v>0</v>
      </c>
      <c r="AM72" t="s">
        <v>121</v>
      </c>
      <c r="AN72" t="b">
        <v>0</v>
      </c>
      <c r="AO72" t="s">
        <v>121</v>
      </c>
      <c r="AP72">
        <v>0</v>
      </c>
      <c r="AQ72">
        <v>1</v>
      </c>
      <c r="AR72">
        <v>1.6109016112444201</v>
      </c>
      <c r="AS72">
        <v>1</v>
      </c>
      <c r="AT72">
        <v>5.6795713368944103</v>
      </c>
      <c r="AU72">
        <v>3.2160198428162201</v>
      </c>
      <c r="AV72">
        <v>2.6743347082826698</v>
      </c>
      <c r="AW7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23</v>
      </c>
      <c r="AX7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13</v>
      </c>
      <c r="AY72">
        <v>6</v>
      </c>
      <c r="AZ72">
        <v>6</v>
      </c>
      <c r="BA72">
        <v>2.6743347082826698</v>
      </c>
      <c r="BB72">
        <v>100</v>
      </c>
      <c r="BC72">
        <v>23</v>
      </c>
      <c r="BD72">
        <v>4.0512964913300804</v>
      </c>
      <c r="BE72">
        <v>46750.977250875803</v>
      </c>
      <c r="BF72" t="s">
        <v>401</v>
      </c>
      <c r="BG72" t="s">
        <v>413</v>
      </c>
      <c r="BH72">
        <f>SUMPRODUCT(Results[[#This Row],[RegionLocation_Norm]:[PopEmp_Score_Norm]],[1]דירוג!$C$4:$G$4)</f>
        <v>3.7084161938342204</v>
      </c>
      <c r="BI7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19</v>
      </c>
      <c r="BJ7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15</v>
      </c>
      <c r="BK7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17</v>
      </c>
    </row>
    <row r="73" spans="1:63" x14ac:dyDescent="0.2">
      <c r="A73">
        <v>379</v>
      </c>
      <c r="B73">
        <v>34.801447631295098</v>
      </c>
      <c r="C73">
        <v>31.964223449178199</v>
      </c>
      <c r="D73" t="s">
        <v>414</v>
      </c>
      <c r="E73" t="s">
        <v>415</v>
      </c>
      <c r="F73" t="s">
        <v>416</v>
      </c>
      <c r="G73" t="s">
        <v>417</v>
      </c>
      <c r="H73" t="s">
        <v>418</v>
      </c>
      <c r="I73" t="s">
        <v>68</v>
      </c>
      <c r="J73" t="s">
        <v>69</v>
      </c>
      <c r="K73" t="s">
        <v>69</v>
      </c>
      <c r="L73" t="s">
        <v>167</v>
      </c>
      <c r="M73" t="s">
        <v>71</v>
      </c>
      <c r="N73">
        <v>190782.39</v>
      </c>
      <c r="O73">
        <v>148584.22</v>
      </c>
      <c r="P73">
        <v>0.77881517261629796</v>
      </c>
      <c r="Q73">
        <v>6</v>
      </c>
      <c r="R73">
        <v>0</v>
      </c>
      <c r="S73">
        <v>0</v>
      </c>
      <c r="T73">
        <v>0</v>
      </c>
      <c r="U73">
        <v>0</v>
      </c>
      <c r="V73">
        <v>6</v>
      </c>
      <c r="W73">
        <v>4</v>
      </c>
      <c r="X73">
        <v>0</v>
      </c>
      <c r="Y73">
        <v>24724.223723909399</v>
      </c>
      <c r="Z73">
        <v>11903.052035032701</v>
      </c>
      <c r="AA73">
        <v>35284.569572145498</v>
      </c>
      <c r="AB73">
        <v>13798.2090524531</v>
      </c>
      <c r="AC73">
        <v>21544.302853438701</v>
      </c>
      <c r="AD73">
        <v>7374.7746384381999</v>
      </c>
      <c r="AE73">
        <v>81553.096149493605</v>
      </c>
      <c r="AF73">
        <v>33076.035725923997</v>
      </c>
      <c r="AG73">
        <v>0</v>
      </c>
      <c r="AH73">
        <v>2</v>
      </c>
      <c r="AI73">
        <v>0</v>
      </c>
      <c r="AJ73">
        <v>3</v>
      </c>
      <c r="AK73">
        <v>93.6</v>
      </c>
      <c r="AL73">
        <v>0</v>
      </c>
      <c r="AM73" t="s">
        <v>104</v>
      </c>
      <c r="AN73" t="b">
        <v>0</v>
      </c>
      <c r="AO73" t="s">
        <v>104</v>
      </c>
      <c r="AP73">
        <v>0</v>
      </c>
      <c r="AQ73">
        <v>1</v>
      </c>
      <c r="AR73">
        <v>3.5824477202605398</v>
      </c>
      <c r="AS73">
        <v>1</v>
      </c>
      <c r="AT73">
        <v>8.9711759632692907</v>
      </c>
      <c r="AU73">
        <v>3.0245874049391599</v>
      </c>
      <c r="AV73">
        <v>3.8251081503402902</v>
      </c>
      <c r="AW7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22</v>
      </c>
      <c r="AX7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12</v>
      </c>
      <c r="AY73">
        <v>16</v>
      </c>
      <c r="AZ73">
        <v>16</v>
      </c>
      <c r="BA73">
        <v>3.8251081503402902</v>
      </c>
      <c r="BB73">
        <v>49</v>
      </c>
      <c r="BC73">
        <v>21</v>
      </c>
      <c r="BD73">
        <v>5.2805382850495004</v>
      </c>
      <c r="BE73">
        <v>42771.447810637997</v>
      </c>
      <c r="BF73" t="s">
        <v>419</v>
      </c>
      <c r="BG73" t="s">
        <v>420</v>
      </c>
      <c r="BH73">
        <f>SUMPRODUCT(Results[[#This Row],[RegionLocation_Norm]:[PopEmp_Score_Norm]],[1]דירוג!$C$4:$G$4)</f>
        <v>5.7894830919198705</v>
      </c>
      <c r="BI7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</v>
      </c>
      <c r="BJ7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</v>
      </c>
      <c r="BK7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</v>
      </c>
    </row>
    <row r="74" spans="1:63" x14ac:dyDescent="0.2">
      <c r="A74">
        <v>392</v>
      </c>
      <c r="B74">
        <v>34.731216226483603</v>
      </c>
      <c r="C74">
        <v>31.890307907393002</v>
      </c>
      <c r="D74" t="s">
        <v>421</v>
      </c>
      <c r="E74" t="s">
        <v>422</v>
      </c>
      <c r="F74" t="s">
        <v>241</v>
      </c>
      <c r="G74" t="s">
        <v>242</v>
      </c>
      <c r="H74" t="s">
        <v>423</v>
      </c>
      <c r="I74" t="s">
        <v>68</v>
      </c>
      <c r="J74" t="s">
        <v>69</v>
      </c>
      <c r="K74" t="s">
        <v>69</v>
      </c>
      <c r="L74" t="s">
        <v>70</v>
      </c>
      <c r="M74" t="s">
        <v>71</v>
      </c>
      <c r="N74">
        <v>5131.7299999999996</v>
      </c>
      <c r="O74">
        <v>4213.2199999999903</v>
      </c>
      <c r="P74">
        <v>0.82101357631831695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4</v>
      </c>
      <c r="Y74">
        <v>131.45931636452099</v>
      </c>
      <c r="Z74">
        <v>5034.6908131337304</v>
      </c>
      <c r="AA74">
        <v>1646.4281703685799</v>
      </c>
      <c r="AB74">
        <v>5595.4687360387998</v>
      </c>
      <c r="AC74">
        <v>1420.06715367028</v>
      </c>
      <c r="AD74">
        <v>2170.97913456674</v>
      </c>
      <c r="AE74">
        <v>3197.9546404033899</v>
      </c>
      <c r="AF74">
        <v>12801.1386837392</v>
      </c>
      <c r="AG74">
        <v>0</v>
      </c>
      <c r="AH74">
        <v>2</v>
      </c>
      <c r="AI74">
        <v>0</v>
      </c>
      <c r="AJ74">
        <v>2</v>
      </c>
      <c r="AK74">
        <v>31.9</v>
      </c>
      <c r="AL74">
        <v>3</v>
      </c>
      <c r="AM74" t="s">
        <v>104</v>
      </c>
      <c r="AN74" t="b">
        <v>0</v>
      </c>
      <c r="AO74" t="s">
        <v>104</v>
      </c>
      <c r="AP74">
        <v>3</v>
      </c>
      <c r="AQ74">
        <v>1</v>
      </c>
      <c r="AR74">
        <v>1.67877956804936</v>
      </c>
      <c r="AS74">
        <v>10</v>
      </c>
      <c r="AT74">
        <v>1</v>
      </c>
      <c r="AU74">
        <v>1.49049609632304</v>
      </c>
      <c r="AV74">
        <v>3.0580366629170399</v>
      </c>
      <c r="AW7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34</v>
      </c>
      <c r="AX7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24</v>
      </c>
      <c r="AY74">
        <v>5</v>
      </c>
      <c r="AZ74">
        <v>5</v>
      </c>
      <c r="BA74">
        <v>3.0580366629170399</v>
      </c>
      <c r="BB74">
        <v>80</v>
      </c>
      <c r="BC74">
        <v>35</v>
      </c>
      <c r="BD74">
        <v>3.7102637984053799</v>
      </c>
      <c r="BE74">
        <v>10880.501875072099</v>
      </c>
      <c r="BF74" t="s">
        <v>424</v>
      </c>
      <c r="BG74" t="s">
        <v>425</v>
      </c>
      <c r="BH74">
        <f>SUMPRODUCT(Results[[#This Row],[RegionLocation_Norm]:[PopEmp_Score_Norm]],[1]דירוג!$C$4:$G$4)</f>
        <v>1.7901282203302791</v>
      </c>
      <c r="BI7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52</v>
      </c>
      <c r="BJ7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41</v>
      </c>
      <c r="BK7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55</v>
      </c>
    </row>
    <row r="75" spans="1:63" x14ac:dyDescent="0.2">
      <c r="A75">
        <v>402</v>
      </c>
      <c r="B75">
        <v>34.744327111930197</v>
      </c>
      <c r="C75">
        <v>31.861241971069902</v>
      </c>
      <c r="D75" t="s">
        <v>426</v>
      </c>
      <c r="E75" t="s">
        <v>427</v>
      </c>
      <c r="F75" t="s">
        <v>428</v>
      </c>
      <c r="G75" t="s">
        <v>429</v>
      </c>
      <c r="H75" t="s">
        <v>430</v>
      </c>
      <c r="I75" t="s">
        <v>68</v>
      </c>
      <c r="J75" t="s">
        <v>69</v>
      </c>
      <c r="K75" t="s">
        <v>69</v>
      </c>
      <c r="L75" t="s">
        <v>70</v>
      </c>
      <c r="M75" t="s">
        <v>71</v>
      </c>
      <c r="N75">
        <v>14546.39</v>
      </c>
      <c r="O75">
        <v>10763.15</v>
      </c>
      <c r="P75">
        <v>0.73991897646082605</v>
      </c>
      <c r="Q75">
        <v>0</v>
      </c>
      <c r="R75">
        <v>0</v>
      </c>
      <c r="S75">
        <v>0</v>
      </c>
      <c r="T75">
        <v>0</v>
      </c>
      <c r="U75">
        <v>3</v>
      </c>
      <c r="V75">
        <v>6</v>
      </c>
      <c r="W75">
        <v>0</v>
      </c>
      <c r="X75">
        <v>3</v>
      </c>
      <c r="Y75">
        <v>3292.48185444928</v>
      </c>
      <c r="Z75">
        <v>3053.1094733804298</v>
      </c>
      <c r="AA75">
        <v>8183.9049623083101</v>
      </c>
      <c r="AB75">
        <v>2823.3162347979801</v>
      </c>
      <c r="AC75">
        <v>6585.9711407130198</v>
      </c>
      <c r="AD75">
        <v>1470.0313132355</v>
      </c>
      <c r="AE75">
        <v>18062.357957470598</v>
      </c>
      <c r="AF75">
        <v>7346.4570214139203</v>
      </c>
      <c r="AG75">
        <v>0</v>
      </c>
      <c r="AH75">
        <v>2</v>
      </c>
      <c r="AI75">
        <v>0</v>
      </c>
      <c r="AJ75">
        <v>3</v>
      </c>
      <c r="AK75">
        <v>82.8</v>
      </c>
      <c r="AL75">
        <v>2</v>
      </c>
      <c r="AM75" t="s">
        <v>104</v>
      </c>
      <c r="AN75" t="b">
        <v>0</v>
      </c>
      <c r="AO75" t="s">
        <v>104</v>
      </c>
      <c r="AP75">
        <v>2</v>
      </c>
      <c r="AQ75">
        <v>1</v>
      </c>
      <c r="AR75">
        <v>3.2492286595817599</v>
      </c>
      <c r="AS75">
        <v>7</v>
      </c>
      <c r="AT75">
        <v>3.2969798154271399</v>
      </c>
      <c r="AU75">
        <v>1.42358953919023</v>
      </c>
      <c r="AV75">
        <v>3.4121482740268498</v>
      </c>
      <c r="AW7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25</v>
      </c>
      <c r="AX7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15</v>
      </c>
      <c r="AY75">
        <v>12</v>
      </c>
      <c r="AZ75">
        <v>12</v>
      </c>
      <c r="BA75">
        <v>3.4121482740268498</v>
      </c>
      <c r="BB75">
        <v>61</v>
      </c>
      <c r="BC75">
        <v>25</v>
      </c>
      <c r="BD75">
        <v>4.1627552271634602</v>
      </c>
      <c r="BE75">
        <v>9489.6372086252595</v>
      </c>
      <c r="BF75" t="s">
        <v>431</v>
      </c>
      <c r="BG75" t="s">
        <v>432</v>
      </c>
      <c r="BH75">
        <f>SUMPRODUCT(Results[[#This Row],[RegionLocation_Norm]:[PopEmp_Score_Norm]],[1]דירוג!$C$4:$G$4)</f>
        <v>3.1243762644682715</v>
      </c>
      <c r="BI7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42</v>
      </c>
      <c r="BJ7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33</v>
      </c>
      <c r="BK7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44</v>
      </c>
    </row>
    <row r="76" spans="1:63" x14ac:dyDescent="0.2">
      <c r="A76">
        <v>412</v>
      </c>
      <c r="B76">
        <v>34.932996537492599</v>
      </c>
      <c r="C76">
        <v>32.0626076037777</v>
      </c>
      <c r="D76" t="s">
        <v>433</v>
      </c>
      <c r="E76" t="s">
        <v>434</v>
      </c>
      <c r="F76" t="s">
        <v>98</v>
      </c>
      <c r="G76" t="s">
        <v>99</v>
      </c>
      <c r="H76" t="s">
        <v>435</v>
      </c>
      <c r="I76" t="s">
        <v>68</v>
      </c>
      <c r="J76" t="s">
        <v>69</v>
      </c>
      <c r="K76" t="s">
        <v>69</v>
      </c>
      <c r="L76" t="s">
        <v>70</v>
      </c>
      <c r="M76" t="s">
        <v>71</v>
      </c>
      <c r="N76">
        <v>2931.22</v>
      </c>
      <c r="O76">
        <v>2810.8</v>
      </c>
      <c r="P76">
        <v>0.95891812965249901</v>
      </c>
      <c r="Q76">
        <v>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6</v>
      </c>
      <c r="Y76">
        <v>1212.14600766177</v>
      </c>
      <c r="Z76">
        <v>498.73684778607497</v>
      </c>
      <c r="AA76">
        <v>2067.3014681888299</v>
      </c>
      <c r="AB76">
        <v>966.64078381860395</v>
      </c>
      <c r="AC76">
        <v>1246.5963736074</v>
      </c>
      <c r="AD76">
        <v>659.37398601972302</v>
      </c>
      <c r="AE76">
        <v>4526.0438494580103</v>
      </c>
      <c r="AF76">
        <v>2124.7516176243998</v>
      </c>
      <c r="AG76">
        <v>0</v>
      </c>
      <c r="AH76">
        <v>2</v>
      </c>
      <c r="AI76">
        <v>0</v>
      </c>
      <c r="AJ76">
        <v>2</v>
      </c>
      <c r="AK76">
        <v>48.4</v>
      </c>
      <c r="AL76">
        <v>2</v>
      </c>
      <c r="AM76" t="s">
        <v>121</v>
      </c>
      <c r="AN76" t="b">
        <v>0</v>
      </c>
      <c r="AO76" t="s">
        <v>121</v>
      </c>
      <c r="AP76">
        <v>2</v>
      </c>
      <c r="AQ76">
        <v>1</v>
      </c>
      <c r="AR76">
        <v>2.18786424408639</v>
      </c>
      <c r="AS76">
        <v>7</v>
      </c>
      <c r="AT76">
        <v>2.81555214258707</v>
      </c>
      <c r="AU76">
        <v>1.1617169137391901</v>
      </c>
      <c r="AV76">
        <v>2.89630823428742</v>
      </c>
      <c r="AW7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17</v>
      </c>
      <c r="AX7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8</v>
      </c>
      <c r="AY76">
        <v>8</v>
      </c>
      <c r="AZ76">
        <v>8</v>
      </c>
      <c r="BA76">
        <v>2.89630823428742</v>
      </c>
      <c r="BB76">
        <v>87</v>
      </c>
      <c r="BC76">
        <v>17</v>
      </c>
      <c r="BD76">
        <v>3.46704841523148</v>
      </c>
      <c r="BE76">
        <v>4045.7854030912899</v>
      </c>
      <c r="BF76" t="s">
        <v>436</v>
      </c>
      <c r="BG76" t="s">
        <v>437</v>
      </c>
      <c r="BH76">
        <f>SUMPRODUCT(Results[[#This Row],[RegionLocation_Norm]:[PopEmp_Score_Norm]],[1]דירוג!$C$4:$G$4)</f>
        <v>2.5702237853137784</v>
      </c>
      <c r="BI7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29</v>
      </c>
      <c r="BJ7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20</v>
      </c>
      <c r="BK7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29</v>
      </c>
    </row>
    <row r="77" spans="1:63" x14ac:dyDescent="0.2">
      <c r="A77">
        <v>420</v>
      </c>
      <c r="B77">
        <v>34.903416512923798</v>
      </c>
      <c r="C77">
        <v>32.083232770157103</v>
      </c>
      <c r="D77" t="s">
        <v>438</v>
      </c>
      <c r="E77" t="s">
        <v>439</v>
      </c>
      <c r="F77" t="s">
        <v>189</v>
      </c>
      <c r="G77" t="s">
        <v>190</v>
      </c>
      <c r="H77" t="s">
        <v>440</v>
      </c>
      <c r="I77" t="s">
        <v>68</v>
      </c>
      <c r="J77" t="s">
        <v>69</v>
      </c>
      <c r="K77" t="s">
        <v>69</v>
      </c>
      <c r="L77" t="s">
        <v>167</v>
      </c>
      <c r="M77" t="s">
        <v>71</v>
      </c>
      <c r="N77">
        <v>46345.53</v>
      </c>
      <c r="O77">
        <v>7874.6299999999901</v>
      </c>
      <c r="P77">
        <v>0.16991131615066199</v>
      </c>
      <c r="Q77">
        <v>1</v>
      </c>
      <c r="R77">
        <v>0</v>
      </c>
      <c r="S77">
        <v>0</v>
      </c>
      <c r="T77">
        <v>0</v>
      </c>
      <c r="U77">
        <v>0</v>
      </c>
      <c r="V77">
        <v>0</v>
      </c>
      <c r="W77">
        <v>2</v>
      </c>
      <c r="X77">
        <v>0</v>
      </c>
      <c r="Y77">
        <v>16196.7478418151</v>
      </c>
      <c r="Z77">
        <v>4161.8403265612797</v>
      </c>
      <c r="AA77">
        <v>30974.887011197901</v>
      </c>
      <c r="AB77">
        <v>7116.2392004824997</v>
      </c>
      <c r="AC77">
        <v>22549.648097367499</v>
      </c>
      <c r="AD77">
        <v>5056.19337009011</v>
      </c>
      <c r="AE77">
        <v>69721.282950380497</v>
      </c>
      <c r="AF77">
        <v>16334.2728971338</v>
      </c>
      <c r="AG77">
        <v>0</v>
      </c>
      <c r="AH77">
        <v>2</v>
      </c>
      <c r="AI77">
        <v>0</v>
      </c>
      <c r="AJ77">
        <v>2</v>
      </c>
      <c r="AK77">
        <v>17.600000000000001</v>
      </c>
      <c r="AL77">
        <v>0</v>
      </c>
      <c r="AM77" t="s">
        <v>104</v>
      </c>
      <c r="AN77" t="b">
        <v>0</v>
      </c>
      <c r="AO77" t="s">
        <v>104</v>
      </c>
      <c r="AP77">
        <v>0</v>
      </c>
      <c r="AQ77">
        <v>1</v>
      </c>
      <c r="AR77">
        <v>1.2375728488172699</v>
      </c>
      <c r="AS77">
        <v>1</v>
      </c>
      <c r="AT77">
        <v>5.8516384238401704</v>
      </c>
      <c r="AU77">
        <v>2.2664747203897102</v>
      </c>
      <c r="AV77">
        <v>2.2003389932488302</v>
      </c>
      <c r="AW7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49</v>
      </c>
      <c r="AX7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37</v>
      </c>
      <c r="AY77">
        <v>3</v>
      </c>
      <c r="AZ77">
        <v>3</v>
      </c>
      <c r="BA77">
        <v>2.2003389932488302</v>
      </c>
      <c r="BB77">
        <v>120</v>
      </c>
      <c r="BC77">
        <v>51</v>
      </c>
      <c r="BD77">
        <v>4.66600785304471</v>
      </c>
      <c r="BE77">
        <v>27011.674907783199</v>
      </c>
      <c r="BF77" t="s">
        <v>441</v>
      </c>
      <c r="BG77" t="s">
        <v>442</v>
      </c>
      <c r="BH77">
        <f>SUMPRODUCT(Results[[#This Row],[RegionLocation_Norm]:[PopEmp_Score_Norm]],[1]דירוג!$C$4:$G$4)</f>
        <v>3.557505394759251</v>
      </c>
      <c r="BI7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38</v>
      </c>
      <c r="BJ7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31</v>
      </c>
      <c r="BK7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26</v>
      </c>
    </row>
    <row r="78" spans="1:63" x14ac:dyDescent="0.2">
      <c r="A78">
        <v>430</v>
      </c>
      <c r="B78">
        <v>34.866423331917403</v>
      </c>
      <c r="C78">
        <v>32.088559642170402</v>
      </c>
      <c r="D78" t="s">
        <v>443</v>
      </c>
      <c r="E78" t="s">
        <v>444</v>
      </c>
      <c r="F78" t="s">
        <v>211</v>
      </c>
      <c r="G78" t="s">
        <v>212</v>
      </c>
      <c r="H78" t="s">
        <v>445</v>
      </c>
      <c r="I78" t="s">
        <v>68</v>
      </c>
      <c r="J78" t="s">
        <v>69</v>
      </c>
      <c r="K78" t="s">
        <v>69</v>
      </c>
      <c r="L78" t="s">
        <v>167</v>
      </c>
      <c r="M78" t="s">
        <v>71</v>
      </c>
      <c r="N78">
        <v>66308.34</v>
      </c>
      <c r="O78">
        <v>47929.9</v>
      </c>
      <c r="P78">
        <v>0.72283365863177995</v>
      </c>
      <c r="Q78">
        <v>0</v>
      </c>
      <c r="R78">
        <v>0</v>
      </c>
      <c r="S78">
        <v>0</v>
      </c>
      <c r="T78">
        <v>0</v>
      </c>
      <c r="U78">
        <v>0</v>
      </c>
      <c r="V78">
        <v>2</v>
      </c>
      <c r="W78">
        <v>2</v>
      </c>
      <c r="X78">
        <v>0</v>
      </c>
      <c r="Y78">
        <v>13257.692047483801</v>
      </c>
      <c r="Z78">
        <v>19926.8218754349</v>
      </c>
      <c r="AA78">
        <v>26360.673811975201</v>
      </c>
      <c r="AB78">
        <v>24202.182789983199</v>
      </c>
      <c r="AC78">
        <v>18334.503532492301</v>
      </c>
      <c r="AD78">
        <v>16186.3650572645</v>
      </c>
      <c r="AE78">
        <v>57952.869391951303</v>
      </c>
      <c r="AF78">
        <v>60315.369722682699</v>
      </c>
      <c r="AG78">
        <v>0</v>
      </c>
      <c r="AH78">
        <v>2</v>
      </c>
      <c r="AI78">
        <v>0</v>
      </c>
      <c r="AJ78">
        <v>2</v>
      </c>
      <c r="AK78">
        <v>24.2</v>
      </c>
      <c r="AL78">
        <v>0</v>
      </c>
      <c r="AM78" t="s">
        <v>104</v>
      </c>
      <c r="AN78" t="b">
        <v>0</v>
      </c>
      <c r="AO78" t="s">
        <v>104</v>
      </c>
      <c r="AP78">
        <v>0</v>
      </c>
      <c r="AQ78">
        <v>1</v>
      </c>
      <c r="AR78">
        <v>1.4412067192320801</v>
      </c>
      <c r="AS78">
        <v>1</v>
      </c>
      <c r="AT78">
        <v>6.6413083546279896</v>
      </c>
      <c r="AU78">
        <v>3.8457960304978398</v>
      </c>
      <c r="AV78">
        <v>2.7979899751156401</v>
      </c>
      <c r="AW7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39</v>
      </c>
      <c r="AX7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28</v>
      </c>
      <c r="AY78">
        <v>4</v>
      </c>
      <c r="AZ78">
        <v>4</v>
      </c>
      <c r="BA78">
        <v>2.7979899751156401</v>
      </c>
      <c r="BB78">
        <v>92</v>
      </c>
      <c r="BC78">
        <v>40</v>
      </c>
      <c r="BD78">
        <v>4.82156815567759</v>
      </c>
      <c r="BE78">
        <v>59842.869656536503</v>
      </c>
      <c r="BF78" t="s">
        <v>446</v>
      </c>
      <c r="BG78" t="s">
        <v>447</v>
      </c>
      <c r="BH78">
        <f>SUMPRODUCT(Results[[#This Row],[RegionLocation_Norm]:[PopEmp_Score_Norm]],[1]דירוג!$C$4:$G$4)</f>
        <v>4.2096780626632722</v>
      </c>
      <c r="BI7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23</v>
      </c>
      <c r="BJ7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19</v>
      </c>
      <c r="BK7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19</v>
      </c>
    </row>
    <row r="79" spans="1:63" x14ac:dyDescent="0.2">
      <c r="A79">
        <v>431</v>
      </c>
      <c r="B79">
        <v>34.860312199691499</v>
      </c>
      <c r="C79">
        <v>32.073312500452303</v>
      </c>
      <c r="D79" t="s">
        <v>448</v>
      </c>
      <c r="E79" t="s">
        <v>449</v>
      </c>
      <c r="F79" t="s">
        <v>450</v>
      </c>
      <c r="G79" t="s">
        <v>451</v>
      </c>
      <c r="H79" t="s">
        <v>452</v>
      </c>
      <c r="I79" t="s">
        <v>68</v>
      </c>
      <c r="J79" t="s">
        <v>69</v>
      </c>
      <c r="K79" t="s">
        <v>69</v>
      </c>
      <c r="L79" t="s">
        <v>167</v>
      </c>
      <c r="M79" t="s">
        <v>71</v>
      </c>
      <c r="N79">
        <v>304235.95</v>
      </c>
      <c r="O79">
        <v>289117.96000000002</v>
      </c>
      <c r="P79">
        <v>0.95030833798569803</v>
      </c>
      <c r="Q79">
        <v>0</v>
      </c>
      <c r="R79">
        <v>0</v>
      </c>
      <c r="S79">
        <v>0</v>
      </c>
      <c r="T79">
        <v>0</v>
      </c>
      <c r="U79">
        <v>0</v>
      </c>
      <c r="V79">
        <v>1.5</v>
      </c>
      <c r="W79">
        <v>3.5</v>
      </c>
      <c r="X79">
        <v>0</v>
      </c>
      <c r="Y79">
        <v>15858.9209223214</v>
      </c>
      <c r="Z79">
        <v>3098.7282175018299</v>
      </c>
      <c r="AA79">
        <v>23497.989372607099</v>
      </c>
      <c r="AB79">
        <v>11411.7894617272</v>
      </c>
      <c r="AC79">
        <v>15021.418612772401</v>
      </c>
      <c r="AD79">
        <v>8687.0224010659895</v>
      </c>
      <c r="AE79">
        <v>54378.328907700998</v>
      </c>
      <c r="AF79">
        <v>23197.540080294999</v>
      </c>
      <c r="AG79">
        <v>0</v>
      </c>
      <c r="AH79">
        <v>2</v>
      </c>
      <c r="AI79">
        <v>0</v>
      </c>
      <c r="AJ79">
        <v>2</v>
      </c>
      <c r="AK79">
        <v>31.35</v>
      </c>
      <c r="AL79">
        <v>0</v>
      </c>
      <c r="AM79" t="s">
        <v>104</v>
      </c>
      <c r="AN79" t="b">
        <v>0</v>
      </c>
      <c r="AO79" t="s">
        <v>104</v>
      </c>
      <c r="AP79">
        <v>0</v>
      </c>
      <c r="AQ79">
        <v>1</v>
      </c>
      <c r="AR79">
        <v>1.66181007884813</v>
      </c>
      <c r="AS79">
        <v>1</v>
      </c>
      <c r="AT79">
        <v>10</v>
      </c>
      <c r="AU79">
        <v>2.3829844139545</v>
      </c>
      <c r="AV79">
        <v>3.1600696428308499</v>
      </c>
      <c r="AW7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32</v>
      </c>
      <c r="AX7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22</v>
      </c>
      <c r="AY79">
        <v>5</v>
      </c>
      <c r="AZ79">
        <v>5</v>
      </c>
      <c r="BA79">
        <v>3.1600696428308499</v>
      </c>
      <c r="BB79">
        <v>75</v>
      </c>
      <c r="BC79">
        <v>33</v>
      </c>
      <c r="BD79">
        <v>5.4832105310981101</v>
      </c>
      <c r="BE79">
        <v>29433.697845776202</v>
      </c>
      <c r="BF79" t="s">
        <v>453</v>
      </c>
      <c r="BG79" t="s">
        <v>454</v>
      </c>
      <c r="BH79">
        <f>SUMPRODUCT(Results[[#This Row],[RegionLocation_Norm]:[PopEmp_Score_Norm]],[1]דירוג!$C$4:$G$4)</f>
        <v>5.6715853649075187</v>
      </c>
      <c r="BI7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</v>
      </c>
      <c r="BJ7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5</v>
      </c>
      <c r="BK7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</v>
      </c>
    </row>
    <row r="80" spans="1:63" x14ac:dyDescent="0.2">
      <c r="A80">
        <v>445</v>
      </c>
      <c r="B80">
        <v>34.862768403924001</v>
      </c>
      <c r="C80">
        <v>32.105676236047302</v>
      </c>
      <c r="D80" t="s">
        <v>455</v>
      </c>
      <c r="E80" t="s">
        <v>456</v>
      </c>
      <c r="F80" t="s">
        <v>457</v>
      </c>
      <c r="G80" t="s">
        <v>458</v>
      </c>
      <c r="H80" t="s">
        <v>459</v>
      </c>
      <c r="I80" t="s">
        <v>68</v>
      </c>
      <c r="J80" t="s">
        <v>69</v>
      </c>
      <c r="K80" t="s">
        <v>69</v>
      </c>
      <c r="L80" t="s">
        <v>167</v>
      </c>
      <c r="M80" t="s">
        <v>71</v>
      </c>
      <c r="N80">
        <v>123946.47</v>
      </c>
      <c r="O80">
        <v>119028.47</v>
      </c>
      <c r="P80">
        <v>0.96032158075982299</v>
      </c>
      <c r="Q80">
        <v>0</v>
      </c>
      <c r="R80">
        <v>0</v>
      </c>
      <c r="S80">
        <v>0</v>
      </c>
      <c r="T80">
        <v>0</v>
      </c>
      <c r="U80">
        <v>0</v>
      </c>
      <c r="V80">
        <v>4</v>
      </c>
      <c r="W80">
        <v>2</v>
      </c>
      <c r="X80">
        <v>2</v>
      </c>
      <c r="Y80">
        <v>462.11098999341999</v>
      </c>
      <c r="Z80">
        <v>2820.8066036170299</v>
      </c>
      <c r="AA80">
        <v>3588.43289224722</v>
      </c>
      <c r="AB80">
        <v>10973.222008163601</v>
      </c>
      <c r="AC80">
        <v>3889.9978345851</v>
      </c>
      <c r="AD80">
        <v>9125.6164484856399</v>
      </c>
      <c r="AE80">
        <v>7940.54171682575</v>
      </c>
      <c r="AF80">
        <v>22919.645060266299</v>
      </c>
      <c r="AG80">
        <v>0</v>
      </c>
      <c r="AH80">
        <v>2</v>
      </c>
      <c r="AI80">
        <v>0</v>
      </c>
      <c r="AJ80">
        <v>3</v>
      </c>
      <c r="AK80">
        <v>52.8</v>
      </c>
      <c r="AL80">
        <v>2</v>
      </c>
      <c r="AM80" t="s">
        <v>104</v>
      </c>
      <c r="AN80" t="b">
        <v>0</v>
      </c>
      <c r="AO80" t="s">
        <v>104</v>
      </c>
      <c r="AP80">
        <v>2</v>
      </c>
      <c r="AQ80">
        <v>1</v>
      </c>
      <c r="AR80">
        <v>2.3236201576962601</v>
      </c>
      <c r="AS80">
        <v>7</v>
      </c>
      <c r="AT80">
        <v>8.0203650498076193</v>
      </c>
      <c r="AU80">
        <v>1.9255187043577799</v>
      </c>
      <c r="AV80">
        <v>4.0717461644175197</v>
      </c>
      <c r="AW8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15</v>
      </c>
      <c r="AX8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8</v>
      </c>
      <c r="AY80">
        <v>8</v>
      </c>
      <c r="AZ80">
        <v>8</v>
      </c>
      <c r="BA80">
        <v>4.0717461644175197</v>
      </c>
      <c r="BB80">
        <v>40</v>
      </c>
      <c r="BC80">
        <v>14</v>
      </c>
      <c r="BD80">
        <v>5.0932341625572297</v>
      </c>
      <c r="BE80">
        <v>19923.8243915782</v>
      </c>
      <c r="BF80" t="s">
        <v>460</v>
      </c>
      <c r="BG80" t="s">
        <v>461</v>
      </c>
      <c r="BH80">
        <f>SUMPRODUCT(Results[[#This Row],[RegionLocation_Norm]:[PopEmp_Score_Norm]],[1]דירוג!$C$4:$G$4)</f>
        <v>5.2010826564494597</v>
      </c>
      <c r="BI8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12</v>
      </c>
      <c r="BJ8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10</v>
      </c>
      <c r="BK8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11</v>
      </c>
    </row>
    <row r="81" spans="1:63" x14ac:dyDescent="0.2">
      <c r="A81">
        <v>447</v>
      </c>
      <c r="B81">
        <v>34.863063061551301</v>
      </c>
      <c r="C81">
        <v>32.0603150537153</v>
      </c>
      <c r="D81" t="s">
        <v>462</v>
      </c>
      <c r="E81" t="s">
        <v>463</v>
      </c>
      <c r="F81" t="s">
        <v>211</v>
      </c>
      <c r="G81" t="s">
        <v>212</v>
      </c>
      <c r="H81" t="s">
        <v>445</v>
      </c>
      <c r="I81" t="s">
        <v>68</v>
      </c>
      <c r="J81" t="s">
        <v>69</v>
      </c>
      <c r="K81" t="s">
        <v>69</v>
      </c>
      <c r="L81" t="s">
        <v>192</v>
      </c>
      <c r="M81" t="s">
        <v>71</v>
      </c>
      <c r="N81">
        <v>55506.039999999899</v>
      </c>
      <c r="O81">
        <v>33621.46</v>
      </c>
      <c r="P81">
        <v>0.60572615160440202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2</v>
      </c>
      <c r="X81">
        <v>0</v>
      </c>
      <c r="Y81">
        <v>13347.0750437187</v>
      </c>
      <c r="Z81">
        <v>11780.682262353101</v>
      </c>
      <c r="AA81">
        <v>18765.077945417601</v>
      </c>
      <c r="AB81">
        <v>9005.8735782224503</v>
      </c>
      <c r="AC81">
        <v>12609.849060771199</v>
      </c>
      <c r="AD81">
        <v>3854.3899531971902</v>
      </c>
      <c r="AE81">
        <v>44722.002049907598</v>
      </c>
      <c r="AF81">
        <v>24640.9457937728</v>
      </c>
      <c r="AG81">
        <v>0</v>
      </c>
      <c r="AH81">
        <v>2</v>
      </c>
      <c r="AI81">
        <v>0</v>
      </c>
      <c r="AJ81">
        <v>2</v>
      </c>
      <c r="AK81">
        <v>24.2</v>
      </c>
      <c r="AL81">
        <v>0</v>
      </c>
      <c r="AM81" t="s">
        <v>104</v>
      </c>
      <c r="AN81" t="b">
        <v>0</v>
      </c>
      <c r="AO81" t="s">
        <v>104</v>
      </c>
      <c r="AP81">
        <v>0</v>
      </c>
      <c r="AQ81">
        <v>1</v>
      </c>
      <c r="AR81">
        <v>1.4412067192320801</v>
      </c>
      <c r="AS81">
        <v>1</v>
      </c>
      <c r="AT81">
        <v>6.2492767219319898</v>
      </c>
      <c r="AU81">
        <v>2.3456294701511999</v>
      </c>
      <c r="AV81">
        <v>2.4716688097913102</v>
      </c>
      <c r="AW8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44</v>
      </c>
      <c r="AX8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32</v>
      </c>
      <c r="AY81">
        <v>4</v>
      </c>
      <c r="AZ81">
        <v>4</v>
      </c>
      <c r="BA81">
        <v>2.4716688097913102</v>
      </c>
      <c r="BB81">
        <v>107</v>
      </c>
      <c r="BC81">
        <v>46</v>
      </c>
      <c r="BD81">
        <v>4.7443402443108598</v>
      </c>
      <c r="BE81">
        <v>28657.1570449998</v>
      </c>
      <c r="BF81" t="s">
        <v>446</v>
      </c>
      <c r="BG81" t="s">
        <v>464</v>
      </c>
      <c r="BH81">
        <f>SUMPRODUCT(Results[[#This Row],[RegionLocation_Norm]:[PopEmp_Score_Norm]],[1]דירוג!$C$4:$G$4)</f>
        <v>3.8137637903464014</v>
      </c>
      <c r="BI8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31</v>
      </c>
      <c r="BJ8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26</v>
      </c>
      <c r="BK8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22</v>
      </c>
    </row>
    <row r="82" spans="1:63" x14ac:dyDescent="0.2">
      <c r="A82">
        <v>448</v>
      </c>
      <c r="B82">
        <v>34.855768122042001</v>
      </c>
      <c r="C82">
        <v>32.053649423888601</v>
      </c>
      <c r="D82" t="s">
        <v>465</v>
      </c>
      <c r="E82" t="s">
        <v>466</v>
      </c>
      <c r="F82" t="s">
        <v>211</v>
      </c>
      <c r="G82" t="s">
        <v>212</v>
      </c>
      <c r="H82" t="s">
        <v>445</v>
      </c>
      <c r="I82" t="s">
        <v>68</v>
      </c>
      <c r="J82" t="s">
        <v>69</v>
      </c>
      <c r="K82" t="s">
        <v>69</v>
      </c>
      <c r="L82" t="s">
        <v>192</v>
      </c>
      <c r="M82" t="s">
        <v>71</v>
      </c>
      <c r="N82">
        <v>11866.07</v>
      </c>
      <c r="O82">
        <v>4142.6899999999996</v>
      </c>
      <c r="P82">
        <v>0.34912064398743597</v>
      </c>
      <c r="Q82">
        <v>0</v>
      </c>
      <c r="R82">
        <v>0</v>
      </c>
      <c r="S82">
        <v>0</v>
      </c>
      <c r="T82">
        <v>0</v>
      </c>
      <c r="U82">
        <v>0</v>
      </c>
      <c r="V82">
        <v>2</v>
      </c>
      <c r="W82">
        <v>2</v>
      </c>
      <c r="X82">
        <v>0</v>
      </c>
      <c r="Y82">
        <v>13530.366786963299</v>
      </c>
      <c r="Z82">
        <v>5996.6473368637899</v>
      </c>
      <c r="AA82">
        <v>25237.7847376274</v>
      </c>
      <c r="AB82">
        <v>13069.589903071101</v>
      </c>
      <c r="AC82">
        <v>16343.262570410499</v>
      </c>
      <c r="AD82">
        <v>8319.7422503737707</v>
      </c>
      <c r="AE82">
        <v>55111.414095001302</v>
      </c>
      <c r="AF82">
        <v>27385.979490308699</v>
      </c>
      <c r="AG82">
        <v>0</v>
      </c>
      <c r="AH82">
        <v>2</v>
      </c>
      <c r="AI82">
        <v>0</v>
      </c>
      <c r="AJ82">
        <v>2</v>
      </c>
      <c r="AK82">
        <v>24.2</v>
      </c>
      <c r="AL82">
        <v>0</v>
      </c>
      <c r="AM82" t="s">
        <v>104</v>
      </c>
      <c r="AN82" t="b">
        <v>0</v>
      </c>
      <c r="AO82" t="s">
        <v>104</v>
      </c>
      <c r="AP82">
        <v>0</v>
      </c>
      <c r="AQ82">
        <v>1</v>
      </c>
      <c r="AR82">
        <v>1.4412067192320801</v>
      </c>
      <c r="AS82">
        <v>1</v>
      </c>
      <c r="AT82">
        <v>2.8479900765326001</v>
      </c>
      <c r="AU82">
        <v>2.5512228453311199</v>
      </c>
      <c r="AV82">
        <v>1.7096054704594399</v>
      </c>
      <c r="AW8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53</v>
      </c>
      <c r="AX8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41</v>
      </c>
      <c r="AY82">
        <v>4</v>
      </c>
      <c r="AZ82">
        <v>4</v>
      </c>
      <c r="BA82">
        <v>1.7096054704594399</v>
      </c>
      <c r="BB82">
        <v>128</v>
      </c>
      <c r="BC82">
        <v>56</v>
      </c>
      <c r="BD82">
        <v>4.0743069059872798</v>
      </c>
      <c r="BE82">
        <v>32931.0664112472</v>
      </c>
      <c r="BF82" t="s">
        <v>446</v>
      </c>
      <c r="BG82" t="s">
        <v>467</v>
      </c>
      <c r="BH82">
        <f>SUMPRODUCT(Results[[#This Row],[RegionLocation_Norm]:[PopEmp_Score_Norm]],[1]דירוג!$C$4:$G$4)</f>
        <v>2.2165262529955023</v>
      </c>
      <c r="BI8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51</v>
      </c>
      <c r="BJ8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40</v>
      </c>
      <c r="BK8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48</v>
      </c>
    </row>
    <row r="83" spans="1:63" x14ac:dyDescent="0.2">
      <c r="A83">
        <v>477</v>
      </c>
      <c r="B83">
        <v>34.870033484181803</v>
      </c>
      <c r="C83">
        <v>32.000821266279203</v>
      </c>
      <c r="D83" t="s">
        <v>468</v>
      </c>
      <c r="E83" t="s">
        <v>469</v>
      </c>
      <c r="F83" t="s">
        <v>322</v>
      </c>
      <c r="G83" t="s">
        <v>323</v>
      </c>
      <c r="H83" t="s">
        <v>470</v>
      </c>
      <c r="I83" t="s">
        <v>68</v>
      </c>
      <c r="J83" t="s">
        <v>69</v>
      </c>
      <c r="K83" t="s">
        <v>69</v>
      </c>
      <c r="L83" t="s">
        <v>167</v>
      </c>
      <c r="M83" t="s">
        <v>71</v>
      </c>
      <c r="N83">
        <v>137307.51</v>
      </c>
      <c r="O83">
        <v>132449.01</v>
      </c>
      <c r="P83">
        <v>0.96461591940600999</v>
      </c>
      <c r="Q83">
        <v>0</v>
      </c>
      <c r="R83">
        <v>0</v>
      </c>
      <c r="S83">
        <v>0</v>
      </c>
      <c r="T83">
        <v>4</v>
      </c>
      <c r="U83">
        <v>4</v>
      </c>
      <c r="V83">
        <v>2</v>
      </c>
      <c r="W83">
        <v>0</v>
      </c>
      <c r="X83">
        <v>4</v>
      </c>
      <c r="Y83">
        <v>11.2857548243224</v>
      </c>
      <c r="Z83">
        <v>2392.8106022443199</v>
      </c>
      <c r="AA83">
        <v>378.45716576952998</v>
      </c>
      <c r="AB83">
        <v>2736.4945828999698</v>
      </c>
      <c r="AC83">
        <v>332.47659970919699</v>
      </c>
      <c r="AD83">
        <v>1575.28520120027</v>
      </c>
      <c r="AE83">
        <v>722.21952030304897</v>
      </c>
      <c r="AF83">
        <v>6704.5903863445801</v>
      </c>
      <c r="AG83">
        <v>0</v>
      </c>
      <c r="AH83">
        <v>2</v>
      </c>
      <c r="AI83">
        <v>0</v>
      </c>
      <c r="AJ83">
        <v>4</v>
      </c>
      <c r="AK83">
        <v>122.2</v>
      </c>
      <c r="AL83">
        <v>0</v>
      </c>
      <c r="AM83" t="s">
        <v>159</v>
      </c>
      <c r="AN83" t="b">
        <v>0</v>
      </c>
      <c r="AO83" t="s">
        <v>159</v>
      </c>
      <c r="AP83">
        <v>0</v>
      </c>
      <c r="AQ83">
        <v>1</v>
      </c>
      <c r="AR83">
        <v>4.4648611587247098</v>
      </c>
      <c r="AS83">
        <v>1</v>
      </c>
      <c r="AT83">
        <v>3.9740168963691902</v>
      </c>
      <c r="AU83">
        <v>1.2320612989620101</v>
      </c>
      <c r="AV83">
        <v>2.0778609213655801</v>
      </c>
      <c r="AW8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14</v>
      </c>
      <c r="AX8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14</v>
      </c>
      <c r="AY83">
        <v>14</v>
      </c>
      <c r="AZ83">
        <v>14</v>
      </c>
      <c r="BA83">
        <v>2.0778609213655801</v>
      </c>
      <c r="BB83">
        <v>121</v>
      </c>
      <c r="BC83">
        <v>14</v>
      </c>
      <c r="BD83">
        <v>5.1376942915147001</v>
      </c>
      <c r="BE83">
        <v>5508.1162131362698</v>
      </c>
      <c r="BF83" t="s">
        <v>471</v>
      </c>
      <c r="BG83" t="s">
        <v>472</v>
      </c>
      <c r="BH83">
        <f>SUMPRODUCT(Results[[#This Row],[RegionLocation_Norm]:[PopEmp_Score_Norm]],[1]דירוג!$C$4:$G$4)</f>
        <v>3.3908139710345888</v>
      </c>
      <c r="BI8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13</v>
      </c>
      <c r="BJ8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13</v>
      </c>
      <c r="BK8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11</v>
      </c>
    </row>
    <row r="84" spans="1:63" x14ac:dyDescent="0.2">
      <c r="A84">
        <v>480</v>
      </c>
      <c r="B84">
        <v>34.957524306139</v>
      </c>
      <c r="C84">
        <v>32.793491212098999</v>
      </c>
      <c r="D84" t="s">
        <v>473</v>
      </c>
      <c r="E84" t="s">
        <v>474</v>
      </c>
      <c r="F84" t="s">
        <v>475</v>
      </c>
      <c r="G84" t="s">
        <v>476</v>
      </c>
      <c r="H84" t="s">
        <v>477</v>
      </c>
      <c r="I84" t="s">
        <v>68</v>
      </c>
      <c r="J84" t="s">
        <v>101</v>
      </c>
      <c r="K84" t="s">
        <v>101</v>
      </c>
      <c r="L84" t="s">
        <v>316</v>
      </c>
      <c r="M84" t="s">
        <v>317</v>
      </c>
      <c r="N84">
        <v>145027.99232409999</v>
      </c>
      <c r="O84">
        <v>121406.5556969</v>
      </c>
      <c r="P84">
        <v>0.83712498360721799</v>
      </c>
      <c r="Q84">
        <v>5.2</v>
      </c>
      <c r="R84">
        <v>0</v>
      </c>
      <c r="S84">
        <v>0</v>
      </c>
      <c r="T84">
        <v>5.2</v>
      </c>
      <c r="U84">
        <v>5.2</v>
      </c>
      <c r="V84">
        <v>5.2</v>
      </c>
      <c r="W84">
        <v>0</v>
      </c>
      <c r="X84">
        <v>5.2</v>
      </c>
      <c r="Y84">
        <v>2129.4954195820601</v>
      </c>
      <c r="Z84">
        <v>10490.2526751563</v>
      </c>
      <c r="AA84">
        <v>3264.3972857088202</v>
      </c>
      <c r="AB84">
        <v>10442.1773838274</v>
      </c>
      <c r="AC84">
        <v>2787.8020881417101</v>
      </c>
      <c r="AD84">
        <v>4118.0364530753204</v>
      </c>
      <c r="AE84">
        <v>8181.6947934325999</v>
      </c>
      <c r="AF84">
        <v>25050.466512059102</v>
      </c>
      <c r="AG84">
        <v>1</v>
      </c>
      <c r="AH84">
        <v>3</v>
      </c>
      <c r="AI84">
        <v>3</v>
      </c>
      <c r="AJ84">
        <v>5</v>
      </c>
      <c r="AK84">
        <v>218.4</v>
      </c>
      <c r="AL84">
        <v>3</v>
      </c>
      <c r="AM84" t="s">
        <v>159</v>
      </c>
      <c r="AN84" t="b">
        <v>0</v>
      </c>
      <c r="AO84" t="s">
        <v>159</v>
      </c>
      <c r="AP84">
        <v>3</v>
      </c>
      <c r="AQ84">
        <v>10</v>
      </c>
      <c r="AR84">
        <v>7.4329790881042097</v>
      </c>
      <c r="AS84">
        <v>10</v>
      </c>
      <c r="AT84">
        <v>4.1628478563212497</v>
      </c>
      <c r="AU84">
        <v>2.0098401261410399</v>
      </c>
      <c r="AV84">
        <v>6.6458106786492097</v>
      </c>
      <c r="AW8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</v>
      </c>
      <c r="AX8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</v>
      </c>
      <c r="AY84">
        <v>26</v>
      </c>
      <c r="AZ84">
        <v>26</v>
      </c>
      <c r="BA84">
        <v>6.6458106786492097</v>
      </c>
      <c r="BB84">
        <v>6</v>
      </c>
      <c r="BC84">
        <v>4</v>
      </c>
      <c r="BD84">
        <v>5.1614518349149296</v>
      </c>
      <c r="BE84">
        <v>21676.712168333801</v>
      </c>
      <c r="BF84" t="s">
        <v>478</v>
      </c>
      <c r="BG84" t="s">
        <v>479</v>
      </c>
      <c r="BH84">
        <f>SUMPRODUCT(Results[[#This Row],[RegionLocation_Norm]:[PopEmp_Score_Norm]],[1]דירוג!$C$4:$G$4)</f>
        <v>5.3835463857314032</v>
      </c>
      <c r="BI8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7</v>
      </c>
      <c r="BJ8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7</v>
      </c>
      <c r="BK8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10</v>
      </c>
    </row>
    <row r="85" spans="1:63" x14ac:dyDescent="0.2">
      <c r="A85">
        <v>481</v>
      </c>
      <c r="B85">
        <v>35.035457711922199</v>
      </c>
      <c r="C85">
        <v>32.793227632350103</v>
      </c>
      <c r="D85" t="s">
        <v>480</v>
      </c>
      <c r="E85" t="s">
        <v>481</v>
      </c>
      <c r="F85" t="s">
        <v>482</v>
      </c>
      <c r="G85" t="s">
        <v>483</v>
      </c>
      <c r="H85" t="s">
        <v>484</v>
      </c>
      <c r="I85" t="s">
        <v>68</v>
      </c>
      <c r="J85" t="s">
        <v>101</v>
      </c>
      <c r="K85" t="s">
        <v>101</v>
      </c>
      <c r="L85" t="s">
        <v>316</v>
      </c>
      <c r="M85" t="s">
        <v>317</v>
      </c>
      <c r="N85">
        <v>215309.84336699999</v>
      </c>
      <c r="O85">
        <v>189892.40020199999</v>
      </c>
      <c r="P85">
        <v>0.88194946051920398</v>
      </c>
      <c r="Q85">
        <v>10</v>
      </c>
      <c r="R85">
        <v>1</v>
      </c>
      <c r="S85">
        <v>0</v>
      </c>
      <c r="T85">
        <v>7</v>
      </c>
      <c r="U85">
        <v>7</v>
      </c>
      <c r="V85">
        <v>5</v>
      </c>
      <c r="W85">
        <v>0</v>
      </c>
      <c r="X85">
        <v>4</v>
      </c>
      <c r="Y85">
        <v>820.81080207945001</v>
      </c>
      <c r="Z85">
        <v>5695.5684526851501</v>
      </c>
      <c r="AA85">
        <v>2950.1790195723502</v>
      </c>
      <c r="AB85">
        <v>10959.396163507399</v>
      </c>
      <c r="AC85">
        <v>3859.8465061607399</v>
      </c>
      <c r="AD85">
        <v>7345.6245232080601</v>
      </c>
      <c r="AE85">
        <v>7630.8363278125498</v>
      </c>
      <c r="AF85">
        <v>24000.589139400599</v>
      </c>
      <c r="AG85">
        <v>1</v>
      </c>
      <c r="AH85">
        <v>3</v>
      </c>
      <c r="AI85">
        <v>3</v>
      </c>
      <c r="AJ85">
        <v>6</v>
      </c>
      <c r="AK85">
        <v>295.5</v>
      </c>
      <c r="AL85">
        <v>3</v>
      </c>
      <c r="AM85" t="s">
        <v>159</v>
      </c>
      <c r="AN85" t="b">
        <v>0</v>
      </c>
      <c r="AO85" t="s">
        <v>159</v>
      </c>
      <c r="AP85">
        <v>3</v>
      </c>
      <c r="AQ85">
        <v>10</v>
      </c>
      <c r="AR85">
        <v>9.8117929379499405</v>
      </c>
      <c r="AS85">
        <v>10</v>
      </c>
      <c r="AT85">
        <v>5.5268638075244203</v>
      </c>
      <c r="AU85">
        <v>1.96413751067682</v>
      </c>
      <c r="AV85">
        <v>7.38484657022319</v>
      </c>
      <c r="AW8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</v>
      </c>
      <c r="AX8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85">
        <v>34</v>
      </c>
      <c r="AZ85">
        <v>34</v>
      </c>
      <c r="BA85">
        <v>7.38484657022319</v>
      </c>
      <c r="BB85">
        <v>2</v>
      </c>
      <c r="BC85">
        <v>2</v>
      </c>
      <c r="BD85">
        <v>5.3330638850127601</v>
      </c>
      <c r="BE85">
        <v>20726.638577082998</v>
      </c>
      <c r="BF85" t="s">
        <v>485</v>
      </c>
      <c r="BG85" t="s">
        <v>486</v>
      </c>
      <c r="BH85">
        <f>SUMPRODUCT(Results[[#This Row],[RegionLocation_Norm]:[PopEmp_Score_Norm]],[1]דירוג!$C$4:$G$4)</f>
        <v>6.673851900165185</v>
      </c>
      <c r="BI8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</v>
      </c>
      <c r="BJ8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</v>
      </c>
      <c r="BK8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</v>
      </c>
    </row>
    <row r="86" spans="1:63" x14ac:dyDescent="0.2">
      <c r="A86">
        <v>487</v>
      </c>
      <c r="B86">
        <v>35.0564582611701</v>
      </c>
      <c r="C86">
        <v>32.805161051148502</v>
      </c>
      <c r="D86" t="s">
        <v>487</v>
      </c>
      <c r="E86" t="s">
        <v>488</v>
      </c>
      <c r="F86" t="s">
        <v>65</v>
      </c>
      <c r="G86" t="s">
        <v>66</v>
      </c>
      <c r="H86" t="s">
        <v>489</v>
      </c>
      <c r="I86" t="s">
        <v>68</v>
      </c>
      <c r="J86" t="s">
        <v>101</v>
      </c>
      <c r="K86" t="s">
        <v>101</v>
      </c>
      <c r="L86" t="s">
        <v>316</v>
      </c>
      <c r="M86" t="s">
        <v>317</v>
      </c>
      <c r="N86">
        <v>24476.539001000001</v>
      </c>
      <c r="O86">
        <v>11935.186643499999</v>
      </c>
      <c r="P86">
        <v>0.48761741367978401</v>
      </c>
      <c r="Q86">
        <v>8</v>
      </c>
      <c r="R86">
        <v>0</v>
      </c>
      <c r="S86">
        <v>0</v>
      </c>
      <c r="T86">
        <v>0</v>
      </c>
      <c r="U86">
        <v>0</v>
      </c>
      <c r="V86">
        <v>8</v>
      </c>
      <c r="W86">
        <v>0</v>
      </c>
      <c r="X86">
        <v>0</v>
      </c>
      <c r="Y86">
        <v>0</v>
      </c>
      <c r="Z86">
        <v>4697.67443573536</v>
      </c>
      <c r="AA86">
        <v>6.5465937190341696</v>
      </c>
      <c r="AB86">
        <v>8763.8188970389092</v>
      </c>
      <c r="AC86">
        <v>79.560261856315705</v>
      </c>
      <c r="AD86">
        <v>5556.9664327063902</v>
      </c>
      <c r="AE86">
        <v>86.106855575349897</v>
      </c>
      <c r="AF86">
        <v>19018.459765480598</v>
      </c>
      <c r="AG86">
        <v>1</v>
      </c>
      <c r="AH86">
        <v>3</v>
      </c>
      <c r="AI86">
        <v>3</v>
      </c>
      <c r="AJ86">
        <v>2</v>
      </c>
      <c r="AK86">
        <v>79.2</v>
      </c>
      <c r="AL86">
        <v>0</v>
      </c>
      <c r="AM86" t="s">
        <v>121</v>
      </c>
      <c r="AN86" t="b">
        <v>0</v>
      </c>
      <c r="AO86" t="s">
        <v>121</v>
      </c>
      <c r="AP86">
        <v>0</v>
      </c>
      <c r="AQ86">
        <v>10</v>
      </c>
      <c r="AR86">
        <v>3.1381556393554999</v>
      </c>
      <c r="AS86">
        <v>1</v>
      </c>
      <c r="AT86">
        <v>7.3337887648699001</v>
      </c>
      <c r="AU86">
        <v>1.1533848675513201</v>
      </c>
      <c r="AV86">
        <v>4.69338322914939</v>
      </c>
      <c r="AW8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6</v>
      </c>
      <c r="AX8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</v>
      </c>
      <c r="AY86">
        <v>16</v>
      </c>
      <c r="AZ86">
        <v>16</v>
      </c>
      <c r="BA86">
        <v>4.69338322914939</v>
      </c>
      <c r="BB86">
        <v>28</v>
      </c>
      <c r="BC86">
        <v>6</v>
      </c>
      <c r="BD86">
        <v>4.3887500082843101</v>
      </c>
      <c r="BE86">
        <v>3872.5774375564101</v>
      </c>
      <c r="BF86" t="s">
        <v>490</v>
      </c>
      <c r="BG86" t="s">
        <v>491</v>
      </c>
      <c r="BH86">
        <f>SUMPRODUCT(Results[[#This Row],[RegionLocation_Norm]:[PopEmp_Score_Norm]],[1]דירוג!$C$4:$G$4)</f>
        <v>5.0763117044627872</v>
      </c>
      <c r="BI8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</v>
      </c>
      <c r="BJ8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8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8</v>
      </c>
    </row>
    <row r="87" spans="1:63" x14ac:dyDescent="0.2">
      <c r="A87">
        <v>490</v>
      </c>
      <c r="B87">
        <v>35.0056290153248</v>
      </c>
      <c r="C87">
        <v>32.8108750785509</v>
      </c>
      <c r="D87" t="s">
        <v>492</v>
      </c>
      <c r="E87" t="s">
        <v>493</v>
      </c>
      <c r="F87" t="s">
        <v>274</v>
      </c>
      <c r="G87" t="s">
        <v>275</v>
      </c>
      <c r="H87" t="s">
        <v>494</v>
      </c>
      <c r="I87" t="s">
        <v>68</v>
      </c>
      <c r="J87" t="s">
        <v>101</v>
      </c>
      <c r="K87" t="s">
        <v>101</v>
      </c>
      <c r="L87" t="s">
        <v>316</v>
      </c>
      <c r="M87" t="s">
        <v>317</v>
      </c>
      <c r="N87">
        <v>4233.2291475000002</v>
      </c>
      <c r="O87">
        <v>1797.8467334500001</v>
      </c>
      <c r="P87">
        <v>0.42469865693704401</v>
      </c>
      <c r="Q87">
        <v>10</v>
      </c>
      <c r="R87">
        <v>0</v>
      </c>
      <c r="S87">
        <v>0</v>
      </c>
      <c r="T87">
        <v>0</v>
      </c>
      <c r="U87">
        <v>7</v>
      </c>
      <c r="V87">
        <v>4</v>
      </c>
      <c r="W87">
        <v>0</v>
      </c>
      <c r="X87">
        <v>7</v>
      </c>
      <c r="Y87">
        <v>5897.6852314989901</v>
      </c>
      <c r="Z87">
        <v>15639.5099141466</v>
      </c>
      <c r="AA87">
        <v>16894.1460217149</v>
      </c>
      <c r="AB87">
        <v>31213.0012285296</v>
      </c>
      <c r="AC87">
        <v>12242.923563623501</v>
      </c>
      <c r="AD87">
        <v>10616.2050377738</v>
      </c>
      <c r="AE87">
        <v>35034.754816837398</v>
      </c>
      <c r="AF87">
        <v>57468.716180450101</v>
      </c>
      <c r="AG87">
        <v>1</v>
      </c>
      <c r="AH87">
        <v>3</v>
      </c>
      <c r="AI87">
        <v>3</v>
      </c>
      <c r="AJ87">
        <v>4</v>
      </c>
      <c r="AK87">
        <v>196.3</v>
      </c>
      <c r="AL87">
        <v>0</v>
      </c>
      <c r="AM87" t="s">
        <v>121</v>
      </c>
      <c r="AN87" t="b">
        <v>0</v>
      </c>
      <c r="AO87" t="s">
        <v>121</v>
      </c>
      <c r="AP87">
        <v>0</v>
      </c>
      <c r="AQ87">
        <v>10</v>
      </c>
      <c r="AR87">
        <v>6.7511141583818901</v>
      </c>
      <c r="AS87">
        <v>1</v>
      </c>
      <c r="AT87">
        <v>3.5980354623269601</v>
      </c>
      <c r="AU87">
        <v>2.86825323849129</v>
      </c>
      <c r="AV87">
        <v>5.6068694957574596</v>
      </c>
      <c r="AW8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</v>
      </c>
      <c r="AX8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87">
        <v>28</v>
      </c>
      <c r="AZ87">
        <v>28</v>
      </c>
      <c r="BA87">
        <v>5.6068694957574596</v>
      </c>
      <c r="BB87">
        <v>13</v>
      </c>
      <c r="BC87">
        <v>2</v>
      </c>
      <c r="BD87">
        <v>3.6266717777584998</v>
      </c>
      <c r="BE87">
        <v>39521.547089560001</v>
      </c>
      <c r="BF87" t="s">
        <v>495</v>
      </c>
      <c r="BG87" t="s">
        <v>496</v>
      </c>
      <c r="BH87">
        <f>SUMPRODUCT(Results[[#This Row],[RegionLocation_Norm]:[PopEmp_Score_Norm]],[1]דירוג!$C$4:$G$4)</f>
        <v>4.5081000880640678</v>
      </c>
      <c r="BI8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10</v>
      </c>
      <c r="BJ8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</v>
      </c>
      <c r="BK8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26</v>
      </c>
    </row>
    <row r="88" spans="1:63" x14ac:dyDescent="0.2">
      <c r="A88">
        <v>498</v>
      </c>
      <c r="B88">
        <v>34.999306824222998</v>
      </c>
      <c r="C88">
        <v>32.818843042082896</v>
      </c>
      <c r="D88" t="s">
        <v>497</v>
      </c>
      <c r="E88" t="s">
        <v>498</v>
      </c>
      <c r="F88" t="s">
        <v>499</v>
      </c>
      <c r="G88" t="s">
        <v>500</v>
      </c>
      <c r="H88" t="s">
        <v>501</v>
      </c>
      <c r="I88" t="s">
        <v>68</v>
      </c>
      <c r="J88" t="s">
        <v>101</v>
      </c>
      <c r="K88" t="s">
        <v>101</v>
      </c>
      <c r="L88" t="s">
        <v>316</v>
      </c>
      <c r="M88" t="s">
        <v>317</v>
      </c>
      <c r="N88">
        <v>3202.2589840000001</v>
      </c>
      <c r="O88">
        <v>1694.3996933999999</v>
      </c>
      <c r="P88">
        <v>0.52912637668159301</v>
      </c>
      <c r="Q88">
        <v>10</v>
      </c>
      <c r="R88">
        <v>0</v>
      </c>
      <c r="S88">
        <v>1</v>
      </c>
      <c r="T88">
        <v>0</v>
      </c>
      <c r="U88">
        <v>0</v>
      </c>
      <c r="V88">
        <v>0</v>
      </c>
      <c r="W88">
        <v>0</v>
      </c>
      <c r="X88">
        <v>0</v>
      </c>
      <c r="Y88">
        <v>7625.1409390160397</v>
      </c>
      <c r="Z88">
        <v>33683.207476926698</v>
      </c>
      <c r="AA88">
        <v>11494.657983953901</v>
      </c>
      <c r="AB88">
        <v>19588.057639701201</v>
      </c>
      <c r="AC88">
        <v>9030.1841245027208</v>
      </c>
      <c r="AD88">
        <v>6827.9401071105203</v>
      </c>
      <c r="AE88">
        <v>28149.983047472699</v>
      </c>
      <c r="AF88">
        <v>60099.205223738398</v>
      </c>
      <c r="AG88">
        <v>1</v>
      </c>
      <c r="AH88">
        <v>3</v>
      </c>
      <c r="AI88">
        <v>3</v>
      </c>
      <c r="AJ88">
        <v>2</v>
      </c>
      <c r="AK88">
        <v>46.2</v>
      </c>
      <c r="AL88">
        <v>2</v>
      </c>
      <c r="AM88" t="s">
        <v>121</v>
      </c>
      <c r="AN88" t="b">
        <v>0</v>
      </c>
      <c r="AO88" t="s">
        <v>121</v>
      </c>
      <c r="AP88">
        <v>2</v>
      </c>
      <c r="AQ88">
        <v>10</v>
      </c>
      <c r="AR88">
        <v>2.1199862872814501</v>
      </c>
      <c r="AS88">
        <v>7</v>
      </c>
      <c r="AT88">
        <v>3.0038306515968598</v>
      </c>
      <c r="AU88">
        <v>2.6286111543007502</v>
      </c>
      <c r="AV88">
        <v>5.3392168764642296</v>
      </c>
      <c r="AW8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</v>
      </c>
      <c r="AX8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</v>
      </c>
      <c r="AY88">
        <v>11</v>
      </c>
      <c r="AZ88">
        <v>11</v>
      </c>
      <c r="BA88">
        <v>5.3392168764642296</v>
      </c>
      <c r="BB88">
        <v>17</v>
      </c>
      <c r="BC88">
        <v>3</v>
      </c>
      <c r="BD88">
        <v>3.5054564527468401</v>
      </c>
      <c r="BE88">
        <v>34539.827482725901</v>
      </c>
      <c r="BF88" t="s">
        <v>502</v>
      </c>
      <c r="BG88" t="s">
        <v>503</v>
      </c>
      <c r="BH88">
        <f>SUMPRODUCT(Results[[#This Row],[RegionLocation_Norm]:[PopEmp_Score_Norm]],[1]דירוג!$C$4:$G$4)</f>
        <v>3.2957242857643765</v>
      </c>
      <c r="BI8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23</v>
      </c>
      <c r="BJ8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6</v>
      </c>
      <c r="BK8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28</v>
      </c>
    </row>
    <row r="89" spans="1:63" x14ac:dyDescent="0.2">
      <c r="A89">
        <v>507</v>
      </c>
      <c r="B89">
        <v>34.983673875067304</v>
      </c>
      <c r="C89">
        <v>32.830743636272203</v>
      </c>
      <c r="D89" t="s">
        <v>504</v>
      </c>
      <c r="E89" t="s">
        <v>505</v>
      </c>
      <c r="F89" t="s">
        <v>506</v>
      </c>
      <c r="G89" t="s">
        <v>507</v>
      </c>
      <c r="H89" t="s">
        <v>508</v>
      </c>
      <c r="I89" t="s">
        <v>68</v>
      </c>
      <c r="J89" t="s">
        <v>101</v>
      </c>
      <c r="K89" t="s">
        <v>101</v>
      </c>
      <c r="L89" t="s">
        <v>316</v>
      </c>
      <c r="M89" t="s">
        <v>317</v>
      </c>
      <c r="N89">
        <v>32877.76296367</v>
      </c>
      <c r="O89">
        <v>27890.610336599999</v>
      </c>
      <c r="P89">
        <v>0.84831228838224704</v>
      </c>
      <c r="Q89">
        <v>6</v>
      </c>
      <c r="R89">
        <v>0</v>
      </c>
      <c r="S89">
        <v>0</v>
      </c>
      <c r="T89">
        <v>0</v>
      </c>
      <c r="U89">
        <v>6</v>
      </c>
      <c r="V89">
        <v>6</v>
      </c>
      <c r="W89">
        <v>0</v>
      </c>
      <c r="X89">
        <v>6</v>
      </c>
      <c r="Y89">
        <v>11361.9325797566</v>
      </c>
      <c r="Z89">
        <v>10581.9676727564</v>
      </c>
      <c r="AA89">
        <v>12654.883005403701</v>
      </c>
      <c r="AB89">
        <v>7504.3234349510303</v>
      </c>
      <c r="AC89">
        <v>6275.9163735299198</v>
      </c>
      <c r="AD89">
        <v>4070.9599157582602</v>
      </c>
      <c r="AE89">
        <v>30292.7319586903</v>
      </c>
      <c r="AF89">
        <v>22157.251023465698</v>
      </c>
      <c r="AG89">
        <v>1</v>
      </c>
      <c r="AH89">
        <v>3</v>
      </c>
      <c r="AI89">
        <v>3</v>
      </c>
      <c r="AJ89">
        <v>4</v>
      </c>
      <c r="AK89">
        <v>171.6</v>
      </c>
      <c r="AL89">
        <v>2</v>
      </c>
      <c r="AM89" t="s">
        <v>104</v>
      </c>
      <c r="AN89" t="b">
        <v>0</v>
      </c>
      <c r="AO89" t="s">
        <v>104</v>
      </c>
      <c r="AP89">
        <v>2</v>
      </c>
      <c r="AQ89">
        <v>10</v>
      </c>
      <c r="AR89">
        <v>5.98902982516283</v>
      </c>
      <c r="AS89">
        <v>7</v>
      </c>
      <c r="AT89">
        <v>5.0947345009359797</v>
      </c>
      <c r="AU89">
        <v>2.1112264132229899</v>
      </c>
      <c r="AV89">
        <v>6.6784325937526798</v>
      </c>
      <c r="AW8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</v>
      </c>
      <c r="AX8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89">
        <v>24</v>
      </c>
      <c r="AZ89">
        <v>24</v>
      </c>
      <c r="BA89">
        <v>6.6784325937526798</v>
      </c>
      <c r="BB89">
        <v>5</v>
      </c>
      <c r="BC89">
        <v>2</v>
      </c>
      <c r="BD89">
        <v>4.51690226003634</v>
      </c>
      <c r="BE89">
        <v>23784.347210510601</v>
      </c>
      <c r="BF89" t="s">
        <v>509</v>
      </c>
      <c r="BG89" t="s">
        <v>510</v>
      </c>
      <c r="BH89">
        <f>SUMPRODUCT(Results[[#This Row],[RegionLocation_Norm]:[PopEmp_Score_Norm]],[1]דירוג!$C$4:$G$4)</f>
        <v>5.271770645504521</v>
      </c>
      <c r="BI8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10</v>
      </c>
      <c r="BJ8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8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34</v>
      </c>
    </row>
    <row r="90" spans="1:63" x14ac:dyDescent="0.2">
      <c r="A90">
        <v>509</v>
      </c>
      <c r="B90">
        <v>35.173553262883303</v>
      </c>
      <c r="C90">
        <v>32.911343743594998</v>
      </c>
      <c r="D90" t="s">
        <v>511</v>
      </c>
      <c r="E90" t="s">
        <v>512</v>
      </c>
      <c r="F90" t="s">
        <v>428</v>
      </c>
      <c r="G90" t="s">
        <v>429</v>
      </c>
      <c r="H90" t="s">
        <v>513</v>
      </c>
      <c r="I90" t="s">
        <v>68</v>
      </c>
      <c r="J90" t="s">
        <v>101</v>
      </c>
      <c r="K90" t="s">
        <v>101</v>
      </c>
      <c r="L90" t="s">
        <v>70</v>
      </c>
      <c r="M90" t="s">
        <v>71</v>
      </c>
      <c r="N90">
        <v>6941.0578968</v>
      </c>
      <c r="O90">
        <v>6194.7123875999996</v>
      </c>
      <c r="P90">
        <v>0.89247381014584404</v>
      </c>
      <c r="Q90">
        <v>0</v>
      </c>
      <c r="R90">
        <v>0</v>
      </c>
      <c r="S90">
        <v>0</v>
      </c>
      <c r="T90">
        <v>0</v>
      </c>
      <c r="U90">
        <v>3</v>
      </c>
      <c r="V90">
        <v>1</v>
      </c>
      <c r="W90">
        <v>0</v>
      </c>
      <c r="X90">
        <v>3</v>
      </c>
      <c r="Y90">
        <v>563.54461397967202</v>
      </c>
      <c r="Z90">
        <v>172.05463460802</v>
      </c>
      <c r="AA90">
        <v>945.78556590423705</v>
      </c>
      <c r="AB90">
        <v>369.41547757528701</v>
      </c>
      <c r="AC90">
        <v>678.23746628776701</v>
      </c>
      <c r="AD90">
        <v>375.23246810816897</v>
      </c>
      <c r="AE90">
        <v>2187.5676461716698</v>
      </c>
      <c r="AF90">
        <v>916.70258029147703</v>
      </c>
      <c r="AG90">
        <v>1</v>
      </c>
      <c r="AH90">
        <v>2</v>
      </c>
      <c r="AI90">
        <v>2</v>
      </c>
      <c r="AJ90">
        <v>3</v>
      </c>
      <c r="AK90">
        <v>52.8</v>
      </c>
      <c r="AL90">
        <v>2</v>
      </c>
      <c r="AM90" t="s">
        <v>104</v>
      </c>
      <c r="AN90" t="b">
        <v>0</v>
      </c>
      <c r="AO90" t="s">
        <v>104</v>
      </c>
      <c r="AP90">
        <v>2</v>
      </c>
      <c r="AQ90">
        <v>7</v>
      </c>
      <c r="AR90">
        <v>2.3236201576962601</v>
      </c>
      <c r="AS90">
        <v>7</v>
      </c>
      <c r="AT90">
        <v>1.6658162905870399</v>
      </c>
      <c r="AU90">
        <v>1.0234214188074999</v>
      </c>
      <c r="AV90">
        <v>3.8821310535364599</v>
      </c>
      <c r="AW9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20</v>
      </c>
      <c r="AX9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6</v>
      </c>
      <c r="AY90">
        <v>7</v>
      </c>
      <c r="AZ90">
        <v>7</v>
      </c>
      <c r="BA90">
        <v>3.8821310535364599</v>
      </c>
      <c r="BB90">
        <v>47</v>
      </c>
      <c r="BC90">
        <v>19</v>
      </c>
      <c r="BD90">
        <v>3.8414256669575901</v>
      </c>
      <c r="BE90">
        <v>1170.87559346751</v>
      </c>
      <c r="BF90" t="s">
        <v>514</v>
      </c>
      <c r="BG90" t="s">
        <v>515</v>
      </c>
      <c r="BH90">
        <f>SUMPRODUCT(Results[[#This Row],[RegionLocation_Norm]:[PopEmp_Score_Norm]],[1]דירוג!$C$4:$G$4)</f>
        <v>2.3382168268505343</v>
      </c>
      <c r="BI9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49</v>
      </c>
      <c r="BJ9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7</v>
      </c>
      <c r="BK9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52</v>
      </c>
    </row>
    <row r="91" spans="1:63" x14ac:dyDescent="0.2">
      <c r="A91">
        <v>515</v>
      </c>
      <c r="B91">
        <v>35.108144993585903</v>
      </c>
      <c r="C91">
        <v>32.816776135437699</v>
      </c>
      <c r="D91" t="s">
        <v>516</v>
      </c>
      <c r="E91" t="s">
        <v>517</v>
      </c>
      <c r="F91" t="s">
        <v>65</v>
      </c>
      <c r="G91" t="s">
        <v>66</v>
      </c>
      <c r="H91" t="s">
        <v>518</v>
      </c>
      <c r="I91" t="s">
        <v>68</v>
      </c>
      <c r="J91" t="s">
        <v>101</v>
      </c>
      <c r="K91" t="s">
        <v>101</v>
      </c>
      <c r="L91" t="s">
        <v>192</v>
      </c>
      <c r="M91" t="s">
        <v>71</v>
      </c>
      <c r="N91">
        <v>1249.3475901500001</v>
      </c>
      <c r="O91">
        <v>512.55425561000004</v>
      </c>
      <c r="P91">
        <v>0.410257529330537</v>
      </c>
      <c r="Q91">
        <v>6</v>
      </c>
      <c r="R91">
        <v>0</v>
      </c>
      <c r="S91">
        <v>0</v>
      </c>
      <c r="T91">
        <v>0</v>
      </c>
      <c r="U91">
        <v>0</v>
      </c>
      <c r="V91">
        <v>4</v>
      </c>
      <c r="W91">
        <v>0</v>
      </c>
      <c r="X91">
        <v>0</v>
      </c>
      <c r="Y91">
        <v>7022.9407178876299</v>
      </c>
      <c r="Z91">
        <v>1618.4589906103699</v>
      </c>
      <c r="AA91">
        <v>14879.6770579188</v>
      </c>
      <c r="AB91">
        <v>3750.5519061814298</v>
      </c>
      <c r="AC91">
        <v>9652.1579827925398</v>
      </c>
      <c r="AD91">
        <v>2301.8449533036301</v>
      </c>
      <c r="AE91">
        <v>31554.775758598898</v>
      </c>
      <c r="AF91">
        <v>7670.8558500954396</v>
      </c>
      <c r="AG91">
        <v>1</v>
      </c>
      <c r="AH91">
        <v>2</v>
      </c>
      <c r="AI91">
        <v>2</v>
      </c>
      <c r="AJ91">
        <v>2</v>
      </c>
      <c r="AK91">
        <v>48.4</v>
      </c>
      <c r="AL91">
        <v>0</v>
      </c>
      <c r="AM91" t="s">
        <v>121</v>
      </c>
      <c r="AN91" t="b">
        <v>0</v>
      </c>
      <c r="AO91" t="s">
        <v>121</v>
      </c>
      <c r="AP91">
        <v>0</v>
      </c>
      <c r="AQ91">
        <v>7</v>
      </c>
      <c r="AR91">
        <v>2.18786424408639</v>
      </c>
      <c r="AS91">
        <v>1</v>
      </c>
      <c r="AT91">
        <v>1</v>
      </c>
      <c r="AU91">
        <v>2.2552335593158102</v>
      </c>
      <c r="AV91">
        <v>2.8658672221453898</v>
      </c>
      <c r="AW9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18</v>
      </c>
      <c r="AX9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9</v>
      </c>
      <c r="AY91">
        <v>10</v>
      </c>
      <c r="AZ91">
        <v>10</v>
      </c>
      <c r="BA91">
        <v>2.8658672221453898</v>
      </c>
      <c r="BB91">
        <v>88</v>
      </c>
      <c r="BC91">
        <v>18</v>
      </c>
      <c r="BD91">
        <v>3.09668328343643</v>
      </c>
      <c r="BE91">
        <v>26777.991776898201</v>
      </c>
      <c r="BF91" t="s">
        <v>519</v>
      </c>
      <c r="BG91" t="s">
        <v>520</v>
      </c>
      <c r="BH91">
        <f>SUMPRODUCT(Results[[#This Row],[RegionLocation_Norm]:[PopEmp_Score_Norm]],[1]דירוג!$C$4:$G$4)</f>
        <v>1.7943886748923095</v>
      </c>
      <c r="BI9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31</v>
      </c>
      <c r="BJ9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9</v>
      </c>
      <c r="BK9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31</v>
      </c>
    </row>
    <row r="92" spans="1:63" x14ac:dyDescent="0.2">
      <c r="A92">
        <v>516</v>
      </c>
      <c r="B92">
        <v>35.113779607873497</v>
      </c>
      <c r="C92">
        <v>32.819832335708</v>
      </c>
      <c r="D92" t="s">
        <v>521</v>
      </c>
      <c r="E92" t="s">
        <v>522</v>
      </c>
      <c r="F92" t="s">
        <v>65</v>
      </c>
      <c r="G92" t="s">
        <v>66</v>
      </c>
      <c r="H92" t="s">
        <v>523</v>
      </c>
      <c r="I92" t="s">
        <v>68</v>
      </c>
      <c r="J92" t="s">
        <v>101</v>
      </c>
      <c r="K92" t="s">
        <v>101</v>
      </c>
      <c r="L92" t="s">
        <v>192</v>
      </c>
      <c r="M92" t="s">
        <v>71</v>
      </c>
      <c r="N92">
        <v>4554.1599439000001</v>
      </c>
      <c r="O92">
        <v>2177.0884222</v>
      </c>
      <c r="P92">
        <v>0.47804390908932998</v>
      </c>
      <c r="Q92">
        <v>2</v>
      </c>
      <c r="R92">
        <v>0</v>
      </c>
      <c r="S92">
        <v>0</v>
      </c>
      <c r="T92">
        <v>0</v>
      </c>
      <c r="U92">
        <v>0</v>
      </c>
      <c r="V92">
        <v>4</v>
      </c>
      <c r="W92">
        <v>0</v>
      </c>
      <c r="X92">
        <v>0</v>
      </c>
      <c r="Y92">
        <v>5058.3838595566604</v>
      </c>
      <c r="Z92">
        <v>910.85371821036802</v>
      </c>
      <c r="AA92">
        <v>10529.277119341699</v>
      </c>
      <c r="AB92">
        <v>2079.98852196897</v>
      </c>
      <c r="AC92">
        <v>8398.8369815681108</v>
      </c>
      <c r="AD92">
        <v>1849.19444127518</v>
      </c>
      <c r="AE92">
        <v>23986.497960466499</v>
      </c>
      <c r="AF92">
        <v>4840.0366814545296</v>
      </c>
      <c r="AG92">
        <v>1</v>
      </c>
      <c r="AH92">
        <v>2</v>
      </c>
      <c r="AI92">
        <v>2</v>
      </c>
      <c r="AJ92">
        <v>2</v>
      </c>
      <c r="AK92">
        <v>30.8</v>
      </c>
      <c r="AL92">
        <v>0</v>
      </c>
      <c r="AM92" t="s">
        <v>121</v>
      </c>
      <c r="AN92" t="b">
        <v>0</v>
      </c>
      <c r="AO92" t="s">
        <v>121</v>
      </c>
      <c r="AP92">
        <v>0</v>
      </c>
      <c r="AQ92">
        <v>7</v>
      </c>
      <c r="AR92">
        <v>1.6448405896468901</v>
      </c>
      <c r="AS92">
        <v>1</v>
      </c>
      <c r="AT92">
        <v>3.75360970011794</v>
      </c>
      <c r="AU92">
        <v>1.93674534670077</v>
      </c>
      <c r="AV92">
        <v>3.1261709291774098</v>
      </c>
      <c r="AW9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13</v>
      </c>
      <c r="AX9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7</v>
      </c>
      <c r="AY92">
        <v>6</v>
      </c>
      <c r="AZ92">
        <v>6</v>
      </c>
      <c r="BA92">
        <v>3.1261709291774098</v>
      </c>
      <c r="BB92">
        <v>78</v>
      </c>
      <c r="BC92">
        <v>13</v>
      </c>
      <c r="BD92">
        <v>3.6584082791410801</v>
      </c>
      <c r="BE92">
        <v>20157.205704664098</v>
      </c>
      <c r="BF92" t="s">
        <v>524</v>
      </c>
      <c r="BG92" t="s">
        <v>525</v>
      </c>
      <c r="BH92">
        <f>SUMPRODUCT(Results[[#This Row],[RegionLocation_Norm]:[PopEmp_Score_Norm]],[1]דירוג!$C$4:$G$4)</f>
        <v>2.9191848396420901</v>
      </c>
      <c r="BI9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27</v>
      </c>
      <c r="BJ9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7</v>
      </c>
      <c r="BK9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24</v>
      </c>
    </row>
    <row r="93" spans="1:63" x14ac:dyDescent="0.2">
      <c r="A93">
        <v>524</v>
      </c>
      <c r="B93">
        <v>35.070227267221497</v>
      </c>
      <c r="C93">
        <v>32.833677658594503</v>
      </c>
      <c r="D93" t="s">
        <v>526</v>
      </c>
      <c r="E93" t="s">
        <v>527</v>
      </c>
      <c r="F93" t="s">
        <v>528</v>
      </c>
      <c r="G93" t="s">
        <v>529</v>
      </c>
      <c r="H93" t="s">
        <v>530</v>
      </c>
      <c r="I93" t="s">
        <v>68</v>
      </c>
      <c r="J93" t="s">
        <v>101</v>
      </c>
      <c r="K93" t="s">
        <v>101</v>
      </c>
      <c r="L93" t="s">
        <v>316</v>
      </c>
      <c r="M93" t="s">
        <v>317</v>
      </c>
      <c r="N93">
        <v>35273.327559999998</v>
      </c>
      <c r="O93">
        <v>31407.873802999999</v>
      </c>
      <c r="P93">
        <v>0.89041425846697098</v>
      </c>
      <c r="Q93">
        <v>0</v>
      </c>
      <c r="R93">
        <v>0</v>
      </c>
      <c r="S93">
        <v>0</v>
      </c>
      <c r="T93">
        <v>5</v>
      </c>
      <c r="U93">
        <v>5</v>
      </c>
      <c r="V93">
        <v>0</v>
      </c>
      <c r="W93">
        <v>0</v>
      </c>
      <c r="X93">
        <v>0</v>
      </c>
      <c r="Y93">
        <v>16692.6284826952</v>
      </c>
      <c r="Z93">
        <v>6441.9461473934498</v>
      </c>
      <c r="AA93">
        <v>31157.998410192398</v>
      </c>
      <c r="AB93">
        <v>9763.0607808185796</v>
      </c>
      <c r="AC93">
        <v>21012.8353869895</v>
      </c>
      <c r="AD93">
        <v>5960.8757212362098</v>
      </c>
      <c r="AE93">
        <v>68863.462279877203</v>
      </c>
      <c r="AF93">
        <v>22165.882649448198</v>
      </c>
      <c r="AG93">
        <v>1</v>
      </c>
      <c r="AH93">
        <v>3</v>
      </c>
      <c r="AI93">
        <v>3</v>
      </c>
      <c r="AJ93">
        <v>2</v>
      </c>
      <c r="AK93">
        <v>82.5</v>
      </c>
      <c r="AL93">
        <v>0</v>
      </c>
      <c r="AM93" t="s">
        <v>104</v>
      </c>
      <c r="AN93" t="b">
        <v>0</v>
      </c>
      <c r="AO93" t="s">
        <v>104</v>
      </c>
      <c r="AP93">
        <v>0</v>
      </c>
      <c r="AQ93">
        <v>10</v>
      </c>
      <c r="AR93">
        <v>3.2399725745629002</v>
      </c>
      <c r="AS93">
        <v>1</v>
      </c>
      <c r="AT93">
        <v>5.2497857143458901</v>
      </c>
      <c r="AU93">
        <v>2.4826421064543198</v>
      </c>
      <c r="AV93">
        <v>4.5878338188451702</v>
      </c>
      <c r="AW9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8</v>
      </c>
      <c r="AX9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</v>
      </c>
      <c r="AY93">
        <v>10</v>
      </c>
      <c r="AZ93">
        <v>10</v>
      </c>
      <c r="BA93">
        <v>4.5878338188451702</v>
      </c>
      <c r="BB93">
        <v>31</v>
      </c>
      <c r="BC93">
        <v>8</v>
      </c>
      <c r="BD93">
        <v>4.5474464313935803</v>
      </c>
      <c r="BE93">
        <v>31505.398575534</v>
      </c>
      <c r="BF93" t="s">
        <v>531</v>
      </c>
      <c r="BG93" t="s">
        <v>532</v>
      </c>
      <c r="BH93">
        <f>SUMPRODUCT(Results[[#This Row],[RegionLocation_Norm]:[PopEmp_Score_Norm]],[1]דירוג!$C$4:$G$4)</f>
        <v>4.2925173919610318</v>
      </c>
      <c r="BI9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22</v>
      </c>
      <c r="BJ9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9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33</v>
      </c>
    </row>
    <row r="94" spans="1:63" x14ac:dyDescent="0.2">
      <c r="A94">
        <v>526</v>
      </c>
      <c r="B94">
        <v>35.089992366373302</v>
      </c>
      <c r="C94">
        <v>32.859519627536599</v>
      </c>
      <c r="D94" t="s">
        <v>533</v>
      </c>
      <c r="E94" t="s">
        <v>534</v>
      </c>
      <c r="F94" t="s">
        <v>65</v>
      </c>
      <c r="G94" t="s">
        <v>66</v>
      </c>
      <c r="H94" t="s">
        <v>535</v>
      </c>
      <c r="I94" t="s">
        <v>68</v>
      </c>
      <c r="J94" t="s">
        <v>101</v>
      </c>
      <c r="K94" t="s">
        <v>101</v>
      </c>
      <c r="L94" t="s">
        <v>192</v>
      </c>
      <c r="M94" t="s">
        <v>71</v>
      </c>
      <c r="N94">
        <v>15316.333161</v>
      </c>
      <c r="O94">
        <v>8705.9663450000007</v>
      </c>
      <c r="P94">
        <v>0.56841061456981101</v>
      </c>
      <c r="Q94">
        <v>12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9418.3090478019094</v>
      </c>
      <c r="Z94">
        <v>2625.4620391458898</v>
      </c>
      <c r="AA94">
        <v>13380.248396503301</v>
      </c>
      <c r="AB94">
        <v>7262.6575419619003</v>
      </c>
      <c r="AC94">
        <v>6447.81219664737</v>
      </c>
      <c r="AD94">
        <v>4736.3175649191498</v>
      </c>
      <c r="AE94">
        <v>29246.369640952598</v>
      </c>
      <c r="AF94">
        <v>14624.437146026899</v>
      </c>
      <c r="AG94">
        <v>1</v>
      </c>
      <c r="AH94">
        <v>2</v>
      </c>
      <c r="AI94">
        <v>2</v>
      </c>
      <c r="AJ94">
        <v>2</v>
      </c>
      <c r="AK94">
        <v>58.3</v>
      </c>
      <c r="AL94">
        <v>3</v>
      </c>
      <c r="AM94" t="s">
        <v>121</v>
      </c>
      <c r="AN94" t="b">
        <v>0</v>
      </c>
      <c r="AO94" t="s">
        <v>121</v>
      </c>
      <c r="AP94">
        <v>3</v>
      </c>
      <c r="AQ94">
        <v>7</v>
      </c>
      <c r="AR94">
        <v>2.4933150497085999</v>
      </c>
      <c r="AS94">
        <v>10</v>
      </c>
      <c r="AT94">
        <v>6.3357528359503199</v>
      </c>
      <c r="AU94">
        <v>2.2332975877421002</v>
      </c>
      <c r="AV94">
        <v>5.89473144304639</v>
      </c>
      <c r="AW9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</v>
      </c>
      <c r="AX9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94">
        <v>13</v>
      </c>
      <c r="AZ94">
        <v>13</v>
      </c>
      <c r="BA94">
        <v>5.89473144304639</v>
      </c>
      <c r="BB94">
        <v>9</v>
      </c>
      <c r="BC94">
        <v>1</v>
      </c>
      <c r="BD94">
        <v>4.1851548045553901</v>
      </c>
      <c r="BE94">
        <v>26321.983141967499</v>
      </c>
      <c r="BF94" t="s">
        <v>536</v>
      </c>
      <c r="BG94" t="s">
        <v>537</v>
      </c>
      <c r="BH94">
        <f>SUMPRODUCT(Results[[#This Row],[RegionLocation_Norm]:[PopEmp_Score_Norm]],[1]דירוג!$C$4:$G$4)</f>
        <v>4.9646065987514358</v>
      </c>
      <c r="BI9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</v>
      </c>
      <c r="BJ9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9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16</v>
      </c>
    </row>
    <row r="95" spans="1:63" x14ac:dyDescent="0.2">
      <c r="A95">
        <v>529</v>
      </c>
      <c r="B95">
        <v>35.073087596915698</v>
      </c>
      <c r="C95">
        <v>32.808271520176497</v>
      </c>
      <c r="D95" t="s">
        <v>538</v>
      </c>
      <c r="E95" t="s">
        <v>539</v>
      </c>
      <c r="F95" t="s">
        <v>65</v>
      </c>
      <c r="G95" t="s">
        <v>66</v>
      </c>
      <c r="H95" t="s">
        <v>540</v>
      </c>
      <c r="I95" t="s">
        <v>68</v>
      </c>
      <c r="J95" t="s">
        <v>101</v>
      </c>
      <c r="K95" t="s">
        <v>101</v>
      </c>
      <c r="L95" t="s">
        <v>192</v>
      </c>
      <c r="M95" t="s">
        <v>71</v>
      </c>
      <c r="N95">
        <v>3927.1955895000001</v>
      </c>
      <c r="O95">
        <v>2126.6278948999998</v>
      </c>
      <c r="P95">
        <v>0.54151310940200803</v>
      </c>
      <c r="Q95">
        <v>2</v>
      </c>
      <c r="R95">
        <v>0</v>
      </c>
      <c r="S95">
        <v>0</v>
      </c>
      <c r="T95">
        <v>0</v>
      </c>
      <c r="U95">
        <v>0</v>
      </c>
      <c r="V95">
        <v>6</v>
      </c>
      <c r="W95">
        <v>0</v>
      </c>
      <c r="X95">
        <v>0</v>
      </c>
      <c r="Y95">
        <v>230.13998167205</v>
      </c>
      <c r="Z95">
        <v>6787.1154026168397</v>
      </c>
      <c r="AA95">
        <v>4335.8960000222096</v>
      </c>
      <c r="AB95">
        <v>8534.3623378118791</v>
      </c>
      <c r="AC95">
        <v>4366.4249493462903</v>
      </c>
      <c r="AD95">
        <v>3846.3171762863899</v>
      </c>
      <c r="AE95">
        <v>8932.4609310405503</v>
      </c>
      <c r="AF95">
        <v>19167.794916715098</v>
      </c>
      <c r="AG95">
        <v>1</v>
      </c>
      <c r="AH95">
        <v>2</v>
      </c>
      <c r="AI95">
        <v>2</v>
      </c>
      <c r="AJ95">
        <v>2</v>
      </c>
      <c r="AK95">
        <v>41.8</v>
      </c>
      <c r="AL95">
        <v>0</v>
      </c>
      <c r="AM95" t="s">
        <v>121</v>
      </c>
      <c r="AN95" t="b">
        <v>0</v>
      </c>
      <c r="AO95" t="s">
        <v>121</v>
      </c>
      <c r="AP95">
        <v>0</v>
      </c>
      <c r="AQ95">
        <v>7</v>
      </c>
      <c r="AR95">
        <v>1.9842303736715801</v>
      </c>
      <c r="AS95">
        <v>1</v>
      </c>
      <c r="AT95">
        <v>3.4382810171549298</v>
      </c>
      <c r="AU95">
        <v>1.4952596646687799</v>
      </c>
      <c r="AV95">
        <v>3.0164752467362299</v>
      </c>
      <c r="AW9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15</v>
      </c>
      <c r="AX9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8</v>
      </c>
      <c r="AY95">
        <v>8</v>
      </c>
      <c r="AZ95">
        <v>8</v>
      </c>
      <c r="BA95">
        <v>3.0164752467362299</v>
      </c>
      <c r="BB95">
        <v>82</v>
      </c>
      <c r="BC95">
        <v>15</v>
      </c>
      <c r="BD95">
        <v>3.5940825313507001</v>
      </c>
      <c r="BE95">
        <v>10979.527728175401</v>
      </c>
      <c r="BF95" t="s">
        <v>541</v>
      </c>
      <c r="BG95" t="s">
        <v>542</v>
      </c>
      <c r="BH95">
        <f>SUMPRODUCT(Results[[#This Row],[RegionLocation_Norm]:[PopEmp_Score_Norm]],[1]דירוג!$C$4:$G$4)</f>
        <v>2.7990658508540149</v>
      </c>
      <c r="BI9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28</v>
      </c>
      <c r="BJ9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8</v>
      </c>
      <c r="BK9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27</v>
      </c>
    </row>
    <row r="96" spans="1:63" x14ac:dyDescent="0.2">
      <c r="A96">
        <v>535</v>
      </c>
      <c r="B96">
        <v>35.082513337744999</v>
      </c>
      <c r="C96">
        <v>32.928429857184497</v>
      </c>
      <c r="D96" t="s">
        <v>543</v>
      </c>
      <c r="E96" t="s">
        <v>544</v>
      </c>
      <c r="F96" t="s">
        <v>528</v>
      </c>
      <c r="G96" t="s">
        <v>529</v>
      </c>
      <c r="H96" t="s">
        <v>545</v>
      </c>
      <c r="I96" t="s">
        <v>68</v>
      </c>
      <c r="J96" t="s">
        <v>101</v>
      </c>
      <c r="K96" t="s">
        <v>101</v>
      </c>
      <c r="L96" t="s">
        <v>70</v>
      </c>
      <c r="M96" t="s">
        <v>71</v>
      </c>
      <c r="N96">
        <v>16909.018988</v>
      </c>
      <c r="O96">
        <v>15065.1423489999</v>
      </c>
      <c r="P96">
        <v>0.89095306828216503</v>
      </c>
      <c r="Q96">
        <v>0</v>
      </c>
      <c r="R96">
        <v>0</v>
      </c>
      <c r="S96">
        <v>0</v>
      </c>
      <c r="T96">
        <v>3</v>
      </c>
      <c r="U96">
        <v>3</v>
      </c>
      <c r="V96">
        <v>0</v>
      </c>
      <c r="W96">
        <v>0</v>
      </c>
      <c r="X96">
        <v>0</v>
      </c>
      <c r="Y96">
        <v>10511.792966721599</v>
      </c>
      <c r="Z96">
        <v>3469.1324397790499</v>
      </c>
      <c r="AA96">
        <v>16861.803156652299</v>
      </c>
      <c r="AB96">
        <v>6270.0332404134697</v>
      </c>
      <c r="AC96">
        <v>9825.2933975531396</v>
      </c>
      <c r="AD96">
        <v>3945.81759755956</v>
      </c>
      <c r="AE96">
        <v>37198.8895209271</v>
      </c>
      <c r="AF96">
        <v>13684.983277752001</v>
      </c>
      <c r="AG96">
        <v>1</v>
      </c>
      <c r="AH96">
        <v>2</v>
      </c>
      <c r="AI96">
        <v>2</v>
      </c>
      <c r="AJ96">
        <v>2</v>
      </c>
      <c r="AK96">
        <v>49.5</v>
      </c>
      <c r="AL96">
        <v>3</v>
      </c>
      <c r="AM96" t="s">
        <v>104</v>
      </c>
      <c r="AN96" t="b">
        <v>0</v>
      </c>
      <c r="AO96" t="s">
        <v>104</v>
      </c>
      <c r="AP96">
        <v>3</v>
      </c>
      <c r="AQ96">
        <v>7</v>
      </c>
      <c r="AR96">
        <v>2.22180322248885</v>
      </c>
      <c r="AS96">
        <v>10</v>
      </c>
      <c r="AT96">
        <v>3.6287825995368999</v>
      </c>
      <c r="AU96">
        <v>1.85162763529181</v>
      </c>
      <c r="AV96">
        <v>4.9995054568929502</v>
      </c>
      <c r="AW9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6</v>
      </c>
      <c r="AX9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96">
        <v>6</v>
      </c>
      <c r="AZ96">
        <v>6</v>
      </c>
      <c r="BA96">
        <v>4.9995054568929502</v>
      </c>
      <c r="BB96">
        <v>23</v>
      </c>
      <c r="BC96">
        <v>6</v>
      </c>
      <c r="BD96">
        <v>4.2281184118285404</v>
      </c>
      <c r="BE96">
        <v>18387.764526387102</v>
      </c>
      <c r="BF96" t="s">
        <v>546</v>
      </c>
      <c r="BG96" t="s">
        <v>547</v>
      </c>
      <c r="BH96">
        <f>SUMPRODUCT(Results[[#This Row],[RegionLocation_Norm]:[PopEmp_Score_Norm]],[1]דירוג!$C$4:$G$4)</f>
        <v>3.544042997178678</v>
      </c>
      <c r="BI9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39</v>
      </c>
      <c r="BJ9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6</v>
      </c>
      <c r="BK9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43</v>
      </c>
    </row>
    <row r="97" spans="1:63" x14ac:dyDescent="0.2">
      <c r="A97">
        <v>546</v>
      </c>
      <c r="B97">
        <v>35.151415112722901</v>
      </c>
      <c r="C97">
        <v>32.823149759297102</v>
      </c>
      <c r="D97" t="s">
        <v>548</v>
      </c>
      <c r="E97" t="s">
        <v>549</v>
      </c>
      <c r="F97" t="s">
        <v>378</v>
      </c>
      <c r="G97" t="s">
        <v>379</v>
      </c>
      <c r="H97" t="s">
        <v>550</v>
      </c>
      <c r="I97" t="s">
        <v>68</v>
      </c>
      <c r="J97" t="s">
        <v>101</v>
      </c>
      <c r="K97" t="s">
        <v>101</v>
      </c>
      <c r="L97" t="s">
        <v>192</v>
      </c>
      <c r="M97" t="s">
        <v>71</v>
      </c>
      <c r="N97">
        <v>4435.6332929699902</v>
      </c>
      <c r="O97">
        <v>4435.6332929699902</v>
      </c>
      <c r="P97">
        <v>1</v>
      </c>
      <c r="Q97">
        <v>6</v>
      </c>
      <c r="R97">
        <v>0</v>
      </c>
      <c r="S97">
        <v>0</v>
      </c>
      <c r="T97">
        <v>0</v>
      </c>
      <c r="U97">
        <v>0</v>
      </c>
      <c r="V97">
        <v>4</v>
      </c>
      <c r="W97">
        <v>0</v>
      </c>
      <c r="X97">
        <v>0</v>
      </c>
      <c r="Y97">
        <v>3921.5813341623302</v>
      </c>
      <c r="Z97">
        <v>2837.3846652183602</v>
      </c>
      <c r="AA97">
        <v>5694.4956494819498</v>
      </c>
      <c r="AB97">
        <v>3540.2060367112399</v>
      </c>
      <c r="AC97">
        <v>3390.59532199246</v>
      </c>
      <c r="AD97">
        <v>1967.9592902618499</v>
      </c>
      <c r="AE97">
        <v>13006.672305636699</v>
      </c>
      <c r="AF97">
        <v>8345.5499921914707</v>
      </c>
      <c r="AG97">
        <v>1</v>
      </c>
      <c r="AH97">
        <v>2</v>
      </c>
      <c r="AI97">
        <v>2</v>
      </c>
      <c r="AJ97">
        <v>2</v>
      </c>
      <c r="AK97">
        <v>48.4</v>
      </c>
      <c r="AL97">
        <v>2</v>
      </c>
      <c r="AM97" t="s">
        <v>121</v>
      </c>
      <c r="AN97" t="b">
        <v>0</v>
      </c>
      <c r="AO97" t="s">
        <v>121</v>
      </c>
      <c r="AP97">
        <v>2</v>
      </c>
      <c r="AQ97">
        <v>7</v>
      </c>
      <c r="AR97">
        <v>2.18786424408639</v>
      </c>
      <c r="AS97">
        <v>7</v>
      </c>
      <c r="AT97">
        <v>3.6974681477520899</v>
      </c>
      <c r="AU97">
        <v>1.5479300192921499</v>
      </c>
      <c r="AV97">
        <v>4.4197335695904396</v>
      </c>
      <c r="AW9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8</v>
      </c>
      <c r="AX9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6</v>
      </c>
      <c r="AY97">
        <v>10</v>
      </c>
      <c r="AZ97">
        <v>10</v>
      </c>
      <c r="BA97">
        <v>4.4197335695904396</v>
      </c>
      <c r="BB97">
        <v>35</v>
      </c>
      <c r="BC97">
        <v>8</v>
      </c>
      <c r="BD97">
        <v>3.6469556345414502</v>
      </c>
      <c r="BE97">
        <v>12074.4478429476</v>
      </c>
      <c r="BF97" t="s">
        <v>551</v>
      </c>
      <c r="BG97" t="s">
        <v>552</v>
      </c>
      <c r="BH97">
        <f>SUMPRODUCT(Results[[#This Row],[RegionLocation_Norm]:[PopEmp_Score_Norm]],[1]דירוג!$C$4:$G$4)</f>
        <v>3.3454632574545191</v>
      </c>
      <c r="BI9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22</v>
      </c>
      <c r="BJ9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5</v>
      </c>
      <c r="BK9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25</v>
      </c>
    </row>
    <row r="98" spans="1:63" x14ac:dyDescent="0.2">
      <c r="A98">
        <v>548</v>
      </c>
      <c r="B98">
        <v>35.132325027120899</v>
      </c>
      <c r="C98">
        <v>32.823316130537101</v>
      </c>
      <c r="D98" t="s">
        <v>553</v>
      </c>
      <c r="E98" t="s">
        <v>554</v>
      </c>
      <c r="F98" t="s">
        <v>65</v>
      </c>
      <c r="G98" t="s">
        <v>66</v>
      </c>
      <c r="H98" t="s">
        <v>555</v>
      </c>
      <c r="I98" t="s">
        <v>68</v>
      </c>
      <c r="J98" t="s">
        <v>101</v>
      </c>
      <c r="K98" t="s">
        <v>101</v>
      </c>
      <c r="L98" t="s">
        <v>192</v>
      </c>
      <c r="M98" t="s">
        <v>71</v>
      </c>
      <c r="N98">
        <v>9587.6103093999991</v>
      </c>
      <c r="O98">
        <v>8835.8004127999993</v>
      </c>
      <c r="P98">
        <v>0.92158526761742598</v>
      </c>
      <c r="Q98">
        <v>3</v>
      </c>
      <c r="R98">
        <v>0</v>
      </c>
      <c r="S98">
        <v>0</v>
      </c>
      <c r="T98">
        <v>0</v>
      </c>
      <c r="U98">
        <v>0</v>
      </c>
      <c r="V98">
        <v>6</v>
      </c>
      <c r="W98">
        <v>0</v>
      </c>
      <c r="X98">
        <v>0</v>
      </c>
      <c r="Y98">
        <v>2353.77149641501</v>
      </c>
      <c r="Z98">
        <v>2139.34232869273</v>
      </c>
      <c r="AA98">
        <v>4281.8436778485302</v>
      </c>
      <c r="AB98">
        <v>2690.92461399288</v>
      </c>
      <c r="AC98">
        <v>3289.56603895031</v>
      </c>
      <c r="AD98">
        <v>1390.4988028878099</v>
      </c>
      <c r="AE98">
        <v>9925.1812132138493</v>
      </c>
      <c r="AF98">
        <v>6220.7657455734197</v>
      </c>
      <c r="AG98">
        <v>1</v>
      </c>
      <c r="AH98">
        <v>2</v>
      </c>
      <c r="AI98">
        <v>2</v>
      </c>
      <c r="AJ98">
        <v>2</v>
      </c>
      <c r="AK98">
        <v>46.2</v>
      </c>
      <c r="AL98">
        <v>2</v>
      </c>
      <c r="AM98" t="s">
        <v>121</v>
      </c>
      <c r="AN98" t="b">
        <v>0</v>
      </c>
      <c r="AO98" t="s">
        <v>121</v>
      </c>
      <c r="AP98">
        <v>2</v>
      </c>
      <c r="AQ98">
        <v>7</v>
      </c>
      <c r="AR98">
        <v>2.1199862872814501</v>
      </c>
      <c r="AS98">
        <v>7</v>
      </c>
      <c r="AT98">
        <v>5.33845600483121</v>
      </c>
      <c r="AU98">
        <v>1.40890141913668</v>
      </c>
      <c r="AV98">
        <v>4.6511188189350197</v>
      </c>
      <c r="AW9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7</v>
      </c>
      <c r="AX9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5</v>
      </c>
      <c r="AY98">
        <v>9</v>
      </c>
      <c r="AZ98">
        <v>9</v>
      </c>
      <c r="BA98">
        <v>4.6511188189350197</v>
      </c>
      <c r="BB98">
        <v>29</v>
      </c>
      <c r="BC98">
        <v>7</v>
      </c>
      <c r="BD98">
        <v>3.9817103737224202</v>
      </c>
      <c r="BE98">
        <v>9184.29811968576</v>
      </c>
      <c r="BF98" t="s">
        <v>556</v>
      </c>
      <c r="BG98" t="s">
        <v>557</v>
      </c>
      <c r="BH98">
        <f>SUMPRODUCT(Results[[#This Row],[RegionLocation_Norm]:[PopEmp_Score_Norm]],[1]דירוג!$C$4:$G$4)</f>
        <v>4.0921355514225901</v>
      </c>
      <c r="BI9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15</v>
      </c>
      <c r="BJ9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</v>
      </c>
      <c r="BK9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19</v>
      </c>
    </row>
    <row r="99" spans="1:63" x14ac:dyDescent="0.2">
      <c r="A99">
        <v>553</v>
      </c>
      <c r="B99">
        <v>34.771089882607797</v>
      </c>
      <c r="C99">
        <v>32.070245471424499</v>
      </c>
      <c r="D99" t="s">
        <v>558</v>
      </c>
      <c r="E99" t="s">
        <v>559</v>
      </c>
      <c r="F99" t="s">
        <v>211</v>
      </c>
      <c r="G99" t="s">
        <v>212</v>
      </c>
      <c r="H99" t="s">
        <v>560</v>
      </c>
      <c r="I99" t="s">
        <v>68</v>
      </c>
      <c r="J99" t="s">
        <v>69</v>
      </c>
      <c r="K99" t="s">
        <v>69</v>
      </c>
      <c r="L99" t="s">
        <v>316</v>
      </c>
      <c r="M99" t="s">
        <v>317</v>
      </c>
      <c r="N99">
        <v>160361.63</v>
      </c>
      <c r="O99">
        <v>104316.56</v>
      </c>
      <c r="P99">
        <v>0.65050822943119202</v>
      </c>
      <c r="Q99">
        <v>0</v>
      </c>
      <c r="R99">
        <v>0</v>
      </c>
      <c r="S99">
        <v>0</v>
      </c>
      <c r="T99">
        <v>0</v>
      </c>
      <c r="U99">
        <v>0</v>
      </c>
      <c r="V99">
        <v>3.5</v>
      </c>
      <c r="W99">
        <v>3.5</v>
      </c>
      <c r="X99">
        <v>0</v>
      </c>
      <c r="Y99">
        <v>25191.366986743898</v>
      </c>
      <c r="Z99">
        <v>44177.308694882602</v>
      </c>
      <c r="AA99">
        <v>41743.956936792303</v>
      </c>
      <c r="AB99">
        <v>65661.733087402798</v>
      </c>
      <c r="AC99">
        <v>21320.373724822901</v>
      </c>
      <c r="AD99">
        <v>40370.892436069596</v>
      </c>
      <c r="AE99">
        <v>88255.697648359201</v>
      </c>
      <c r="AF99">
        <v>150209.93421835499</v>
      </c>
      <c r="AG99">
        <v>0</v>
      </c>
      <c r="AH99">
        <v>3</v>
      </c>
      <c r="AI99">
        <v>0</v>
      </c>
      <c r="AJ99">
        <v>2</v>
      </c>
      <c r="AK99">
        <v>42.35</v>
      </c>
      <c r="AL99">
        <v>0</v>
      </c>
      <c r="AM99" t="s">
        <v>104</v>
      </c>
      <c r="AN99" t="b">
        <v>0</v>
      </c>
      <c r="AO99" t="s">
        <v>104</v>
      </c>
      <c r="AP99">
        <v>0</v>
      </c>
      <c r="AQ99">
        <v>1</v>
      </c>
      <c r="AR99">
        <v>2.0011998628728098</v>
      </c>
      <c r="AS99">
        <v>1</v>
      </c>
      <c r="AT99">
        <v>8.5882313462998301</v>
      </c>
      <c r="AU99">
        <v>7.5967865906503604</v>
      </c>
      <c r="AV99">
        <v>4.1209330939190796</v>
      </c>
      <c r="AW9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14</v>
      </c>
      <c r="AX9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7</v>
      </c>
      <c r="AY99">
        <v>7</v>
      </c>
      <c r="AZ99">
        <v>7</v>
      </c>
      <c r="BA99">
        <v>4.1209330939190796</v>
      </c>
      <c r="BB99">
        <v>39</v>
      </c>
      <c r="BC99">
        <v>13</v>
      </c>
      <c r="BD99">
        <v>5.2051004619985797</v>
      </c>
      <c r="BE99">
        <v>137819.086904355</v>
      </c>
      <c r="BF99" t="s">
        <v>561</v>
      </c>
      <c r="BG99" t="s">
        <v>562</v>
      </c>
      <c r="BH99">
        <f>SUMPRODUCT(Results[[#This Row],[RegionLocation_Norm]:[PopEmp_Score_Norm]],[1]דירוג!$C$4:$G$4)</f>
        <v>5.8134530824702502</v>
      </c>
      <c r="BI9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</v>
      </c>
      <c r="BJ9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</v>
      </c>
      <c r="BK9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8</v>
      </c>
    </row>
    <row r="100" spans="1:63" x14ac:dyDescent="0.2">
      <c r="A100">
        <v>577</v>
      </c>
      <c r="B100">
        <v>34.7845861504073</v>
      </c>
      <c r="C100">
        <v>32.067139534476503</v>
      </c>
      <c r="D100" t="s">
        <v>563</v>
      </c>
      <c r="E100" t="s">
        <v>564</v>
      </c>
      <c r="F100" t="s">
        <v>565</v>
      </c>
      <c r="G100" t="s">
        <v>566</v>
      </c>
      <c r="H100" t="s">
        <v>567</v>
      </c>
      <c r="I100" t="s">
        <v>68</v>
      </c>
      <c r="J100" t="s">
        <v>69</v>
      </c>
      <c r="K100" t="s">
        <v>69</v>
      </c>
      <c r="L100" t="s">
        <v>316</v>
      </c>
      <c r="M100" t="s">
        <v>317</v>
      </c>
      <c r="N100">
        <v>218051.81</v>
      </c>
      <c r="O100">
        <v>127027.56</v>
      </c>
      <c r="P100">
        <v>0.58255677859312405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12</v>
      </c>
      <c r="W100">
        <v>2</v>
      </c>
      <c r="X100">
        <v>0</v>
      </c>
      <c r="Y100">
        <v>16887.640121639899</v>
      </c>
      <c r="Z100">
        <v>62646.6807258935</v>
      </c>
      <c r="AA100">
        <v>30024.177725998001</v>
      </c>
      <c r="AB100">
        <v>94719.024503049004</v>
      </c>
      <c r="AC100">
        <v>22837.323659831</v>
      </c>
      <c r="AD100">
        <v>59918.869390939399</v>
      </c>
      <c r="AE100">
        <v>69749.141507468899</v>
      </c>
      <c r="AF100">
        <v>217284.57461988099</v>
      </c>
      <c r="AG100">
        <v>0</v>
      </c>
      <c r="AH100">
        <v>3</v>
      </c>
      <c r="AI100">
        <v>0</v>
      </c>
      <c r="AJ100">
        <v>2</v>
      </c>
      <c r="AK100">
        <v>79.2</v>
      </c>
      <c r="AL100">
        <v>0</v>
      </c>
      <c r="AM100" t="s">
        <v>104</v>
      </c>
      <c r="AN100" t="b">
        <v>0</v>
      </c>
      <c r="AO100" t="s">
        <v>104</v>
      </c>
      <c r="AP100">
        <v>0</v>
      </c>
      <c r="AQ100">
        <v>1</v>
      </c>
      <c r="AR100">
        <v>3.1381556393554999</v>
      </c>
      <c r="AS100">
        <v>1</v>
      </c>
      <c r="AT100">
        <v>9.2657097408440308</v>
      </c>
      <c r="AU100">
        <v>10</v>
      </c>
      <c r="AV100">
        <v>5.0867561461150999</v>
      </c>
      <c r="AW10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</v>
      </c>
      <c r="AX10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100">
        <v>14</v>
      </c>
      <c r="AZ100">
        <v>14</v>
      </c>
      <c r="BA100">
        <v>5.0867561461150999</v>
      </c>
      <c r="BB100">
        <v>20</v>
      </c>
      <c r="BC100">
        <v>5</v>
      </c>
      <c r="BD100">
        <v>5.3385596960071497</v>
      </c>
      <c r="BE100">
        <v>187777.487997399</v>
      </c>
      <c r="BF100" t="s">
        <v>568</v>
      </c>
      <c r="BG100" t="s">
        <v>569</v>
      </c>
      <c r="BH100">
        <f>SUMPRODUCT(Results[[#This Row],[RegionLocation_Norm]:[PopEmp_Score_Norm]],[1]דירוג!$C$4:$G$4)</f>
        <v>6.7794494343887877</v>
      </c>
      <c r="BI10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</v>
      </c>
      <c r="BJ10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10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</v>
      </c>
    </row>
    <row r="101" spans="1:63" x14ac:dyDescent="0.2">
      <c r="A101">
        <v>579</v>
      </c>
      <c r="B101">
        <v>34.794528947505697</v>
      </c>
      <c r="C101">
        <v>32.072632670908902</v>
      </c>
      <c r="D101" t="s">
        <v>570</v>
      </c>
      <c r="E101" t="s">
        <v>571</v>
      </c>
      <c r="F101" t="s">
        <v>572</v>
      </c>
      <c r="G101" t="s">
        <v>573</v>
      </c>
      <c r="H101" t="s">
        <v>574</v>
      </c>
      <c r="I101" t="s">
        <v>68</v>
      </c>
      <c r="J101" t="s">
        <v>69</v>
      </c>
      <c r="K101" t="s">
        <v>69</v>
      </c>
      <c r="L101" t="s">
        <v>316</v>
      </c>
      <c r="M101" t="s">
        <v>317</v>
      </c>
      <c r="N101">
        <v>786767.14</v>
      </c>
      <c r="O101">
        <v>627653.35</v>
      </c>
      <c r="P101">
        <v>0.79776253746438797</v>
      </c>
      <c r="Q101">
        <v>0</v>
      </c>
      <c r="R101">
        <v>0</v>
      </c>
      <c r="S101">
        <v>0</v>
      </c>
      <c r="T101">
        <v>10</v>
      </c>
      <c r="U101">
        <v>0</v>
      </c>
      <c r="V101">
        <v>0</v>
      </c>
      <c r="W101">
        <v>6</v>
      </c>
      <c r="X101">
        <v>10</v>
      </c>
      <c r="Y101">
        <v>17985.1478374914</v>
      </c>
      <c r="Z101">
        <v>59465.717202992797</v>
      </c>
      <c r="AA101">
        <v>35361.031452903102</v>
      </c>
      <c r="AB101">
        <v>88079.874260584998</v>
      </c>
      <c r="AC101">
        <v>27328.812582609698</v>
      </c>
      <c r="AD101">
        <v>48361.0065911731</v>
      </c>
      <c r="AE101">
        <v>80674.991873004299</v>
      </c>
      <c r="AF101">
        <v>195906.598054751</v>
      </c>
      <c r="AG101">
        <v>0</v>
      </c>
      <c r="AH101">
        <v>3</v>
      </c>
      <c r="AI101">
        <v>0</v>
      </c>
      <c r="AJ101">
        <v>3</v>
      </c>
      <c r="AK101">
        <v>211.2</v>
      </c>
      <c r="AL101">
        <v>0</v>
      </c>
      <c r="AM101" t="s">
        <v>159</v>
      </c>
      <c r="AN101" t="b">
        <v>0</v>
      </c>
      <c r="AO101" t="s">
        <v>159</v>
      </c>
      <c r="AP101">
        <v>0</v>
      </c>
      <c r="AQ101">
        <v>1</v>
      </c>
      <c r="AR101">
        <v>7.2108330476516898</v>
      </c>
      <c r="AS101">
        <v>1</v>
      </c>
      <c r="AT101">
        <v>10</v>
      </c>
      <c r="AU101">
        <v>9.2824181488774702</v>
      </c>
      <c r="AV101">
        <v>5.7370855773731098</v>
      </c>
      <c r="AW10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6</v>
      </c>
      <c r="AX10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6</v>
      </c>
      <c r="AY101">
        <v>26</v>
      </c>
      <c r="AZ101">
        <v>26</v>
      </c>
      <c r="BA101">
        <v>5.7370855773731098</v>
      </c>
      <c r="BB101">
        <v>12</v>
      </c>
      <c r="BC101">
        <v>6</v>
      </c>
      <c r="BD101">
        <v>5.8958462129469797</v>
      </c>
      <c r="BE101">
        <v>172860.27681840101</v>
      </c>
      <c r="BF101" t="s">
        <v>575</v>
      </c>
      <c r="BG101" t="s">
        <v>576</v>
      </c>
      <c r="BH101">
        <f>SUMPRODUCT(Results[[#This Row],[RegionLocation_Norm]:[PopEmp_Score_Norm]],[1]דירוג!$C$4:$G$4)</f>
        <v>8.1343918786075751</v>
      </c>
      <c r="BI10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</v>
      </c>
      <c r="BJ10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10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</v>
      </c>
    </row>
    <row r="102" spans="1:63" x14ac:dyDescent="0.2">
      <c r="A102">
        <v>581</v>
      </c>
      <c r="B102">
        <v>34.784987924048899</v>
      </c>
      <c r="C102">
        <v>32.054157233594601</v>
      </c>
      <c r="D102" t="s">
        <v>577</v>
      </c>
      <c r="E102" t="s">
        <v>578</v>
      </c>
      <c r="F102" t="s">
        <v>334</v>
      </c>
      <c r="G102" t="s">
        <v>335</v>
      </c>
      <c r="H102" t="s">
        <v>579</v>
      </c>
      <c r="I102" t="s">
        <v>68</v>
      </c>
      <c r="J102" t="s">
        <v>69</v>
      </c>
      <c r="K102" t="s">
        <v>69</v>
      </c>
      <c r="L102" t="s">
        <v>316</v>
      </c>
      <c r="M102" t="s">
        <v>317</v>
      </c>
      <c r="N102">
        <v>147331.51</v>
      </c>
      <c r="O102">
        <v>103269.06</v>
      </c>
      <c r="P102">
        <v>0.70092989612337497</v>
      </c>
      <c r="Q102">
        <v>0</v>
      </c>
      <c r="R102">
        <v>0</v>
      </c>
      <c r="S102">
        <v>0</v>
      </c>
      <c r="T102">
        <v>0</v>
      </c>
      <c r="U102">
        <v>11</v>
      </c>
      <c r="V102">
        <v>6</v>
      </c>
      <c r="W102">
        <v>4</v>
      </c>
      <c r="X102">
        <v>11</v>
      </c>
      <c r="Y102">
        <v>13143.025081781199</v>
      </c>
      <c r="Z102">
        <v>15365.523374529401</v>
      </c>
      <c r="AA102">
        <v>23435.4854619004</v>
      </c>
      <c r="AB102">
        <v>39208.837987306702</v>
      </c>
      <c r="AC102">
        <v>17315.744723904802</v>
      </c>
      <c r="AD102">
        <v>28755.815308827201</v>
      </c>
      <c r="AE102">
        <v>53894.255267586399</v>
      </c>
      <c r="AF102">
        <v>83330.176670663393</v>
      </c>
      <c r="AG102">
        <v>0</v>
      </c>
      <c r="AH102">
        <v>3</v>
      </c>
      <c r="AI102">
        <v>0</v>
      </c>
      <c r="AJ102">
        <v>4</v>
      </c>
      <c r="AK102">
        <v>256.10000000000002</v>
      </c>
      <c r="AL102">
        <v>2</v>
      </c>
      <c r="AM102" t="s">
        <v>159</v>
      </c>
      <c r="AN102" t="b">
        <v>0</v>
      </c>
      <c r="AO102" t="s">
        <v>159</v>
      </c>
      <c r="AP102">
        <v>2</v>
      </c>
      <c r="AQ102">
        <v>1</v>
      </c>
      <c r="AR102">
        <v>8.5961604388069901</v>
      </c>
      <c r="AS102">
        <v>7</v>
      </c>
      <c r="AT102">
        <v>4.2172441486448298</v>
      </c>
      <c r="AU102">
        <v>4.6924374368270803</v>
      </c>
      <c r="AV102">
        <v>4.8845213606623901</v>
      </c>
      <c r="AW10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9</v>
      </c>
      <c r="AX10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9</v>
      </c>
      <c r="AY102">
        <v>32</v>
      </c>
      <c r="AZ102">
        <v>32</v>
      </c>
      <c r="BA102">
        <v>4.8845213606623901</v>
      </c>
      <c r="BB102">
        <v>25</v>
      </c>
      <c r="BC102">
        <v>9</v>
      </c>
      <c r="BD102">
        <v>5.1682956399563098</v>
      </c>
      <c r="BE102">
        <v>77442.992390048006</v>
      </c>
      <c r="BF102" t="s">
        <v>580</v>
      </c>
      <c r="BG102" t="s">
        <v>581</v>
      </c>
      <c r="BH102">
        <f>SUMPRODUCT(Results[[#This Row],[RegionLocation_Norm]:[PopEmp_Score_Norm]],[1]דירוג!$C$4:$G$4)</f>
        <v>5.4676509856878868</v>
      </c>
      <c r="BI10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6</v>
      </c>
      <c r="BJ10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6</v>
      </c>
      <c r="BK10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9</v>
      </c>
    </row>
    <row r="103" spans="1:63" x14ac:dyDescent="0.2">
      <c r="A103">
        <v>587</v>
      </c>
      <c r="B103">
        <v>34.814485491645797</v>
      </c>
      <c r="C103">
        <v>32.106094089707199</v>
      </c>
      <c r="D103" t="s">
        <v>582</v>
      </c>
      <c r="E103" t="s">
        <v>583</v>
      </c>
      <c r="F103" t="s">
        <v>65</v>
      </c>
      <c r="G103" t="s">
        <v>66</v>
      </c>
      <c r="H103" t="s">
        <v>584</v>
      </c>
      <c r="I103" t="s">
        <v>68</v>
      </c>
      <c r="J103" t="s">
        <v>69</v>
      </c>
      <c r="K103" t="s">
        <v>69</v>
      </c>
      <c r="L103" t="s">
        <v>316</v>
      </c>
      <c r="M103" t="s">
        <v>317</v>
      </c>
      <c r="N103">
        <v>26427.17</v>
      </c>
      <c r="O103">
        <v>20709.05</v>
      </c>
      <c r="P103">
        <v>0.78362722909793203</v>
      </c>
      <c r="Q103">
        <v>2</v>
      </c>
      <c r="R103">
        <v>0</v>
      </c>
      <c r="S103">
        <v>0</v>
      </c>
      <c r="T103">
        <v>0</v>
      </c>
      <c r="U103">
        <v>0</v>
      </c>
      <c r="V103">
        <v>3</v>
      </c>
      <c r="W103">
        <v>0</v>
      </c>
      <c r="X103">
        <v>0</v>
      </c>
      <c r="Y103">
        <v>4000.5975457240402</v>
      </c>
      <c r="Z103">
        <v>2937.6996057112101</v>
      </c>
      <c r="AA103">
        <v>8669.3683122112707</v>
      </c>
      <c r="AB103">
        <v>11755.7291883734</v>
      </c>
      <c r="AC103">
        <v>6864.5306657577203</v>
      </c>
      <c r="AD103">
        <v>10598.2647012936</v>
      </c>
      <c r="AE103">
        <v>19534.496523693</v>
      </c>
      <c r="AF103">
        <v>25291.6934953782</v>
      </c>
      <c r="AG103">
        <v>0</v>
      </c>
      <c r="AH103">
        <v>3</v>
      </c>
      <c r="AI103">
        <v>0</v>
      </c>
      <c r="AJ103">
        <v>2</v>
      </c>
      <c r="AK103">
        <v>25.3</v>
      </c>
      <c r="AL103">
        <v>0</v>
      </c>
      <c r="AM103" t="s">
        <v>121</v>
      </c>
      <c r="AN103" t="b">
        <v>0</v>
      </c>
      <c r="AO103" t="s">
        <v>121</v>
      </c>
      <c r="AP103">
        <v>0</v>
      </c>
      <c r="AQ103">
        <v>1</v>
      </c>
      <c r="AR103">
        <v>1.4751456976345501</v>
      </c>
      <c r="AS103">
        <v>1</v>
      </c>
      <c r="AT103">
        <v>7.4970305539492399</v>
      </c>
      <c r="AU103">
        <v>1.96217953816585</v>
      </c>
      <c r="AV103">
        <v>2.59929923027503</v>
      </c>
      <c r="AW10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24</v>
      </c>
      <c r="AX10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14</v>
      </c>
      <c r="AY103">
        <v>5</v>
      </c>
      <c r="AZ103">
        <v>5</v>
      </c>
      <c r="BA103">
        <v>2.59929923027503</v>
      </c>
      <c r="BB103">
        <v>103</v>
      </c>
      <c r="BC103">
        <v>24</v>
      </c>
      <c r="BD103">
        <v>4.4220506584329096</v>
      </c>
      <c r="BE103">
        <v>20685.935918030002</v>
      </c>
      <c r="BF103" t="s">
        <v>585</v>
      </c>
      <c r="BG103" t="s">
        <v>586</v>
      </c>
      <c r="BH103">
        <f>SUMPRODUCT(Results[[#This Row],[RegionLocation_Norm]:[PopEmp_Score_Norm]],[1]דירוג!$C$4:$G$4)</f>
        <v>4.366088044651752</v>
      </c>
      <c r="BI10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12</v>
      </c>
      <c r="BJ10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9</v>
      </c>
      <c r="BK10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7</v>
      </c>
    </row>
    <row r="104" spans="1:63" x14ac:dyDescent="0.2">
      <c r="A104">
        <v>589</v>
      </c>
      <c r="B104">
        <v>34.823162557180801</v>
      </c>
      <c r="C104">
        <v>32.091083822096699</v>
      </c>
      <c r="D104" t="s">
        <v>587</v>
      </c>
      <c r="E104" t="s">
        <v>588</v>
      </c>
      <c r="F104" t="s">
        <v>65</v>
      </c>
      <c r="G104" t="s">
        <v>66</v>
      </c>
      <c r="H104" t="s">
        <v>589</v>
      </c>
      <c r="I104" t="s">
        <v>68</v>
      </c>
      <c r="J104" t="s">
        <v>69</v>
      </c>
      <c r="K104" t="s">
        <v>69</v>
      </c>
      <c r="L104" t="s">
        <v>192</v>
      </c>
      <c r="M104" t="s">
        <v>71</v>
      </c>
      <c r="N104">
        <v>85633.97</v>
      </c>
      <c r="O104">
        <v>41959.87</v>
      </c>
      <c r="P104">
        <v>0.48999094634991203</v>
      </c>
      <c r="Q104">
        <v>2</v>
      </c>
      <c r="R104">
        <v>0</v>
      </c>
      <c r="S104">
        <v>0</v>
      </c>
      <c r="T104">
        <v>0</v>
      </c>
      <c r="U104">
        <v>0</v>
      </c>
      <c r="V104">
        <v>6</v>
      </c>
      <c r="W104">
        <v>0</v>
      </c>
      <c r="X104">
        <v>0</v>
      </c>
      <c r="Y104">
        <v>37072.789104721</v>
      </c>
      <c r="Z104">
        <v>13721.3896462659</v>
      </c>
      <c r="AA104">
        <v>51478.017042324602</v>
      </c>
      <c r="AB104">
        <v>21241.707645054601</v>
      </c>
      <c r="AC104">
        <v>31802.237618269999</v>
      </c>
      <c r="AD104">
        <v>13211.34468978</v>
      </c>
      <c r="AE104">
        <v>120353.043765315</v>
      </c>
      <c r="AF104">
        <v>48174.441981100601</v>
      </c>
      <c r="AG104">
        <v>0</v>
      </c>
      <c r="AH104">
        <v>2</v>
      </c>
      <c r="AI104">
        <v>0</v>
      </c>
      <c r="AJ104">
        <v>2</v>
      </c>
      <c r="AK104">
        <v>41.8</v>
      </c>
      <c r="AL104">
        <v>0</v>
      </c>
      <c r="AM104" t="s">
        <v>121</v>
      </c>
      <c r="AN104" t="b">
        <v>0</v>
      </c>
      <c r="AO104" t="s">
        <v>121</v>
      </c>
      <c r="AP104">
        <v>0</v>
      </c>
      <c r="AQ104">
        <v>1</v>
      </c>
      <c r="AR104">
        <v>1.9842303736715801</v>
      </c>
      <c r="AS104">
        <v>1</v>
      </c>
      <c r="AT104">
        <v>10</v>
      </c>
      <c r="AU104">
        <v>6.0621749109766796</v>
      </c>
      <c r="AV104">
        <v>4.8673659301621299</v>
      </c>
      <c r="AW10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</v>
      </c>
      <c r="AX10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104">
        <v>8</v>
      </c>
      <c r="AZ104">
        <v>8</v>
      </c>
      <c r="BA104">
        <v>4.8673659301621299</v>
      </c>
      <c r="BB104">
        <v>26</v>
      </c>
      <c r="BC104">
        <v>5</v>
      </c>
      <c r="BD104">
        <v>4.9326460784270898</v>
      </c>
      <c r="BE104">
        <v>105917.323408472</v>
      </c>
      <c r="BF104" t="s">
        <v>590</v>
      </c>
      <c r="BG104" t="s">
        <v>591</v>
      </c>
      <c r="BH104">
        <f>SUMPRODUCT(Results[[#This Row],[RegionLocation_Norm]:[PopEmp_Score_Norm]],[1]דירוג!$C$4:$G$4)</f>
        <v>6.2703687438907565</v>
      </c>
      <c r="BI10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</v>
      </c>
      <c r="BJ10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10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</v>
      </c>
    </row>
    <row r="105" spans="1:63" x14ac:dyDescent="0.2">
      <c r="A105">
        <v>593</v>
      </c>
      <c r="B105">
        <v>34.839919723808698</v>
      </c>
      <c r="C105">
        <v>32.110888762759899</v>
      </c>
      <c r="D105" t="s">
        <v>592</v>
      </c>
      <c r="E105" t="s">
        <v>593</v>
      </c>
      <c r="F105" t="s">
        <v>565</v>
      </c>
      <c r="G105" t="s">
        <v>566</v>
      </c>
      <c r="H105" t="s">
        <v>594</v>
      </c>
      <c r="I105" t="s">
        <v>68</v>
      </c>
      <c r="J105" t="s">
        <v>69</v>
      </c>
      <c r="K105" t="s">
        <v>69</v>
      </c>
      <c r="L105" t="s">
        <v>316</v>
      </c>
      <c r="M105" t="s">
        <v>317</v>
      </c>
      <c r="N105">
        <v>102808.6</v>
      </c>
      <c r="O105">
        <v>54099.03</v>
      </c>
      <c r="P105">
        <v>0.52621113408800402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2</v>
      </c>
      <c r="W105">
        <v>2</v>
      </c>
      <c r="X105">
        <v>0</v>
      </c>
      <c r="Y105">
        <v>7187.0512254539699</v>
      </c>
      <c r="Z105">
        <v>21093.430463132499</v>
      </c>
      <c r="AA105">
        <v>16389.869465458902</v>
      </c>
      <c r="AB105">
        <v>32632.241220869699</v>
      </c>
      <c r="AC105">
        <v>12755.752892627001</v>
      </c>
      <c r="AD105">
        <v>15554.5257319997</v>
      </c>
      <c r="AE105">
        <v>36332.673583539901</v>
      </c>
      <c r="AF105">
        <v>69280.197416002004</v>
      </c>
      <c r="AG105">
        <v>0</v>
      </c>
      <c r="AH105">
        <v>3</v>
      </c>
      <c r="AI105">
        <v>0</v>
      </c>
      <c r="AJ105">
        <v>2</v>
      </c>
      <c r="AK105">
        <v>24.2</v>
      </c>
      <c r="AL105">
        <v>0</v>
      </c>
      <c r="AM105" t="s">
        <v>104</v>
      </c>
      <c r="AN105" t="b">
        <v>0</v>
      </c>
      <c r="AO105" t="s">
        <v>104</v>
      </c>
      <c r="AP105">
        <v>0</v>
      </c>
      <c r="AQ105">
        <v>1</v>
      </c>
      <c r="AR105">
        <v>1.4412067192320801</v>
      </c>
      <c r="AS105">
        <v>1</v>
      </c>
      <c r="AT105">
        <v>7.6081459780079896</v>
      </c>
      <c r="AU105">
        <v>3.98278853334878</v>
      </c>
      <c r="AV105">
        <v>3.0033841172549001</v>
      </c>
      <c r="AW10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35</v>
      </c>
      <c r="AX10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25</v>
      </c>
      <c r="AY105">
        <v>4</v>
      </c>
      <c r="AZ105">
        <v>4</v>
      </c>
      <c r="BA105">
        <v>3.0033841172549001</v>
      </c>
      <c r="BB105">
        <v>83</v>
      </c>
      <c r="BC105">
        <v>36</v>
      </c>
      <c r="BD105">
        <v>5.0120294451682499</v>
      </c>
      <c r="BE105">
        <v>62690.692649509598</v>
      </c>
      <c r="BF105" t="s">
        <v>595</v>
      </c>
      <c r="BG105" t="s">
        <v>596</v>
      </c>
      <c r="BH105">
        <f>SUMPRODUCT(Results[[#This Row],[RegionLocation_Norm]:[PopEmp_Score_Norm]],[1]דירוג!$C$4:$G$4)</f>
        <v>4.6908684045351929</v>
      </c>
      <c r="BI10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19</v>
      </c>
      <c r="BJ10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16</v>
      </c>
      <c r="BK10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15</v>
      </c>
    </row>
    <row r="106" spans="1:63" x14ac:dyDescent="0.2">
      <c r="A106">
        <v>608</v>
      </c>
      <c r="B106">
        <v>34.861427605249602</v>
      </c>
      <c r="C106">
        <v>32.096360104723203</v>
      </c>
      <c r="D106" t="s">
        <v>597</v>
      </c>
      <c r="E106" t="s">
        <v>598</v>
      </c>
      <c r="F106" t="s">
        <v>599</v>
      </c>
      <c r="G106" t="s">
        <v>600</v>
      </c>
      <c r="H106" t="s">
        <v>601</v>
      </c>
      <c r="I106" t="s">
        <v>68</v>
      </c>
      <c r="J106" t="s">
        <v>69</v>
      </c>
      <c r="K106" t="s">
        <v>69</v>
      </c>
      <c r="L106" t="s">
        <v>167</v>
      </c>
      <c r="M106" t="s">
        <v>71</v>
      </c>
      <c r="N106">
        <v>157787.22999999899</v>
      </c>
      <c r="O106">
        <v>134990.41</v>
      </c>
      <c r="P106">
        <v>0.855521768143087</v>
      </c>
      <c r="Q106">
        <v>4</v>
      </c>
      <c r="R106">
        <v>0</v>
      </c>
      <c r="S106">
        <v>0</v>
      </c>
      <c r="T106">
        <v>0</v>
      </c>
      <c r="U106">
        <v>0</v>
      </c>
      <c r="V106">
        <v>2</v>
      </c>
      <c r="W106">
        <v>2</v>
      </c>
      <c r="X106">
        <v>0</v>
      </c>
      <c r="Y106">
        <v>194.38986766304399</v>
      </c>
      <c r="Z106">
        <v>21736.8406760504</v>
      </c>
      <c r="AA106">
        <v>5208.9224155246102</v>
      </c>
      <c r="AB106">
        <v>35381.865541125298</v>
      </c>
      <c r="AC106">
        <v>9645.3694702632692</v>
      </c>
      <c r="AD106">
        <v>19595.844832684499</v>
      </c>
      <c r="AE106">
        <v>15048.681753450899</v>
      </c>
      <c r="AF106">
        <v>76714.551049860398</v>
      </c>
      <c r="AG106">
        <v>0</v>
      </c>
      <c r="AH106">
        <v>2</v>
      </c>
      <c r="AI106">
        <v>0</v>
      </c>
      <c r="AJ106">
        <v>3</v>
      </c>
      <c r="AK106">
        <v>45.6</v>
      </c>
      <c r="AL106">
        <v>0</v>
      </c>
      <c r="AM106" t="s">
        <v>104</v>
      </c>
      <c r="AN106" t="b">
        <v>0</v>
      </c>
      <c r="AO106" t="s">
        <v>104</v>
      </c>
      <c r="AP106">
        <v>0</v>
      </c>
      <c r="AQ106">
        <v>1</v>
      </c>
      <c r="AR106">
        <v>2.1014741172437401</v>
      </c>
      <c r="AS106">
        <v>1</v>
      </c>
      <c r="AT106">
        <v>8.5525520513977007</v>
      </c>
      <c r="AU106">
        <v>4.06411771264957</v>
      </c>
      <c r="AV106">
        <v>3.3942197099093501</v>
      </c>
      <c r="AW10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26</v>
      </c>
      <c r="AX10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16</v>
      </c>
      <c r="AY106">
        <v>8</v>
      </c>
      <c r="AZ106">
        <v>8</v>
      </c>
      <c r="BA106">
        <v>3.3942197099093501</v>
      </c>
      <c r="BB106">
        <v>62</v>
      </c>
      <c r="BC106">
        <v>26</v>
      </c>
      <c r="BD106">
        <v>5.1980718520739702</v>
      </c>
      <c r="BE106">
        <v>64381.377190578503</v>
      </c>
      <c r="BF106" t="s">
        <v>602</v>
      </c>
      <c r="BG106" t="s">
        <v>603</v>
      </c>
      <c r="BH106">
        <f>SUMPRODUCT(Results[[#This Row],[RegionLocation_Norm]:[PopEmp_Score_Norm]],[1]דירוג!$C$4:$G$4)</f>
        <v>5.3325317283994451</v>
      </c>
      <c r="BI10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9</v>
      </c>
      <c r="BJ10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8</v>
      </c>
      <c r="BK10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9</v>
      </c>
    </row>
    <row r="107" spans="1:63" x14ac:dyDescent="0.2">
      <c r="A107">
        <v>616</v>
      </c>
      <c r="B107">
        <v>34.805619867365699</v>
      </c>
      <c r="C107">
        <v>32.1038407567519</v>
      </c>
      <c r="D107" t="s">
        <v>604</v>
      </c>
      <c r="E107" t="s">
        <v>605</v>
      </c>
      <c r="F107" t="s">
        <v>428</v>
      </c>
      <c r="G107" t="s">
        <v>429</v>
      </c>
      <c r="H107" t="s">
        <v>606</v>
      </c>
      <c r="I107" t="s">
        <v>68</v>
      </c>
      <c r="J107" t="s">
        <v>69</v>
      </c>
      <c r="K107" t="s">
        <v>69</v>
      </c>
      <c r="L107" t="s">
        <v>316</v>
      </c>
      <c r="M107" t="s">
        <v>317</v>
      </c>
      <c r="N107">
        <v>29466.400000000001</v>
      </c>
      <c r="O107">
        <v>27354.240000000002</v>
      </c>
      <c r="P107">
        <v>0.92831971330057195</v>
      </c>
      <c r="Q107">
        <v>0</v>
      </c>
      <c r="R107">
        <v>0</v>
      </c>
      <c r="S107">
        <v>0</v>
      </c>
      <c r="T107">
        <v>0</v>
      </c>
      <c r="U107">
        <v>11</v>
      </c>
      <c r="V107">
        <v>4</v>
      </c>
      <c r="W107">
        <v>0</v>
      </c>
      <c r="X107">
        <v>11</v>
      </c>
      <c r="Y107">
        <v>871.87591082663005</v>
      </c>
      <c r="Z107">
        <v>5489.4220773302604</v>
      </c>
      <c r="AA107">
        <v>9910.3437690898099</v>
      </c>
      <c r="AB107">
        <v>15222.1769761181</v>
      </c>
      <c r="AC107">
        <v>10803.809494386</v>
      </c>
      <c r="AD107">
        <v>11139.8374033869</v>
      </c>
      <c r="AE107">
        <v>21586.029174302501</v>
      </c>
      <c r="AF107">
        <v>31851.436456835301</v>
      </c>
      <c r="AG107">
        <v>0</v>
      </c>
      <c r="AH107">
        <v>3</v>
      </c>
      <c r="AI107">
        <v>0</v>
      </c>
      <c r="AJ107">
        <v>3</v>
      </c>
      <c r="AK107">
        <v>195.6</v>
      </c>
      <c r="AL107">
        <v>2</v>
      </c>
      <c r="AM107" t="s">
        <v>104</v>
      </c>
      <c r="AN107" t="b">
        <v>0</v>
      </c>
      <c r="AO107" t="s">
        <v>104</v>
      </c>
      <c r="AP107">
        <v>2</v>
      </c>
      <c r="AQ107">
        <v>1</v>
      </c>
      <c r="AR107">
        <v>6.7295166266712299</v>
      </c>
      <c r="AS107">
        <v>7</v>
      </c>
      <c r="AT107">
        <v>4.8532288694625496</v>
      </c>
      <c r="AU107">
        <v>2.4005259874328799</v>
      </c>
      <c r="AV107">
        <v>4.9756981552477502</v>
      </c>
      <c r="AW10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7</v>
      </c>
      <c r="AX10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</v>
      </c>
      <c r="AY107">
        <v>26</v>
      </c>
      <c r="AZ107">
        <v>26</v>
      </c>
      <c r="BA107">
        <v>4.9756981552477502</v>
      </c>
      <c r="BB107">
        <v>24</v>
      </c>
      <c r="BC107">
        <v>7</v>
      </c>
      <c r="BD107">
        <v>4.4693270800088198</v>
      </c>
      <c r="BE107">
        <v>29798.3550003288</v>
      </c>
      <c r="BF107" t="s">
        <v>607</v>
      </c>
      <c r="BG107" t="s">
        <v>608</v>
      </c>
      <c r="BH107">
        <f>SUMPRODUCT(Results[[#This Row],[RegionLocation_Norm]:[PopEmp_Score_Norm]],[1]דירוג!$C$4:$G$4)</f>
        <v>4.9472155176841728</v>
      </c>
      <c r="BI10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16</v>
      </c>
      <c r="BJ10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13</v>
      </c>
      <c r="BK10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36</v>
      </c>
    </row>
    <row r="108" spans="1:63" x14ac:dyDescent="0.2">
      <c r="A108">
        <v>622</v>
      </c>
      <c r="B108">
        <v>34.808885221240999</v>
      </c>
      <c r="C108">
        <v>32.133363417239799</v>
      </c>
      <c r="D108" t="s">
        <v>609</v>
      </c>
      <c r="E108" t="s">
        <v>610</v>
      </c>
      <c r="F108" t="s">
        <v>611</v>
      </c>
      <c r="G108" t="s">
        <v>612</v>
      </c>
      <c r="H108" t="s">
        <v>613</v>
      </c>
      <c r="I108" t="s">
        <v>68</v>
      </c>
      <c r="J108" t="s">
        <v>69</v>
      </c>
      <c r="K108" t="s">
        <v>69</v>
      </c>
      <c r="L108" t="s">
        <v>192</v>
      </c>
      <c r="M108" t="s">
        <v>71</v>
      </c>
      <c r="N108">
        <v>267278.11</v>
      </c>
      <c r="O108">
        <v>260509.38</v>
      </c>
      <c r="P108">
        <v>0.974675329752967</v>
      </c>
      <c r="Q108">
        <v>0</v>
      </c>
      <c r="R108">
        <v>0</v>
      </c>
      <c r="S108">
        <v>0</v>
      </c>
      <c r="T108">
        <v>9.3333333333333304</v>
      </c>
      <c r="U108">
        <v>9.3333333333333304</v>
      </c>
      <c r="V108">
        <v>0</v>
      </c>
      <c r="W108">
        <v>6</v>
      </c>
      <c r="X108">
        <v>9.3333333333333304</v>
      </c>
      <c r="Y108">
        <v>13250.6553025171</v>
      </c>
      <c r="Z108">
        <v>5025.80161648392</v>
      </c>
      <c r="AA108">
        <v>20570.681383841998</v>
      </c>
      <c r="AB108">
        <v>8873.7295480013709</v>
      </c>
      <c r="AC108">
        <v>10990.485658275</v>
      </c>
      <c r="AD108">
        <v>5678.0561192933301</v>
      </c>
      <c r="AE108">
        <v>44811.822344634202</v>
      </c>
      <c r="AF108">
        <v>19577.587283778601</v>
      </c>
      <c r="AG108">
        <v>0</v>
      </c>
      <c r="AH108">
        <v>2</v>
      </c>
      <c r="AI108">
        <v>0</v>
      </c>
      <c r="AJ108">
        <v>4</v>
      </c>
      <c r="AK108">
        <v>301.60000000000002</v>
      </c>
      <c r="AL108">
        <v>3</v>
      </c>
      <c r="AM108" t="s">
        <v>159</v>
      </c>
      <c r="AN108" t="b">
        <v>0</v>
      </c>
      <c r="AO108" t="s">
        <v>159</v>
      </c>
      <c r="AP108">
        <v>3</v>
      </c>
      <c r="AQ108">
        <v>1</v>
      </c>
      <c r="AR108">
        <v>10</v>
      </c>
      <c r="AS108">
        <v>10</v>
      </c>
      <c r="AT108">
        <v>6.2732008202800902</v>
      </c>
      <c r="AU108">
        <v>2.1516382059260599</v>
      </c>
      <c r="AV108">
        <v>5.8311522832418197</v>
      </c>
      <c r="AW10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5</v>
      </c>
      <c r="AX10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5</v>
      </c>
      <c r="AY108">
        <v>34</v>
      </c>
      <c r="AZ108">
        <v>34</v>
      </c>
      <c r="BA108">
        <v>5.8311522832418197</v>
      </c>
      <c r="BB108">
        <v>10</v>
      </c>
      <c r="BC108">
        <v>5</v>
      </c>
      <c r="BD108">
        <v>5.4269633916203697</v>
      </c>
      <c r="BE108">
        <v>24624.434295949701</v>
      </c>
      <c r="BF108" t="s">
        <v>614</v>
      </c>
      <c r="BG108" t="s">
        <v>615</v>
      </c>
      <c r="BH108">
        <f>SUMPRODUCT(Results[[#This Row],[RegionLocation_Norm]:[PopEmp_Score_Norm]],[1]דירוג!$C$4:$G$4)</f>
        <v>6.657667702717605</v>
      </c>
      <c r="BI10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</v>
      </c>
      <c r="BJ10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</v>
      </c>
      <c r="BK10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</v>
      </c>
    </row>
    <row r="109" spans="1:63" x14ac:dyDescent="0.2">
      <c r="A109">
        <v>630</v>
      </c>
      <c r="B109">
        <v>34.797273194276897</v>
      </c>
      <c r="C109">
        <v>32.0833902750975</v>
      </c>
      <c r="D109" t="s">
        <v>616</v>
      </c>
      <c r="E109" t="s">
        <v>617</v>
      </c>
      <c r="F109" t="s">
        <v>334</v>
      </c>
      <c r="G109" t="s">
        <v>335</v>
      </c>
      <c r="H109" t="s">
        <v>618</v>
      </c>
      <c r="I109" t="s">
        <v>68</v>
      </c>
      <c r="J109" t="s">
        <v>69</v>
      </c>
      <c r="K109" t="s">
        <v>69</v>
      </c>
      <c r="L109" t="s">
        <v>316</v>
      </c>
      <c r="M109" t="s">
        <v>317</v>
      </c>
      <c r="N109">
        <v>333765.02</v>
      </c>
      <c r="O109">
        <v>232459.91</v>
      </c>
      <c r="P109">
        <v>0.69647774952569896</v>
      </c>
      <c r="Q109">
        <v>0</v>
      </c>
      <c r="R109">
        <v>0</v>
      </c>
      <c r="S109">
        <v>0</v>
      </c>
      <c r="T109">
        <v>0</v>
      </c>
      <c r="U109">
        <v>11</v>
      </c>
      <c r="V109">
        <v>8</v>
      </c>
      <c r="W109">
        <v>4</v>
      </c>
      <c r="X109">
        <v>11</v>
      </c>
      <c r="Y109">
        <v>17634.2269185367</v>
      </c>
      <c r="Z109">
        <v>52470.473781364301</v>
      </c>
      <c r="AA109">
        <v>43461.6491529372</v>
      </c>
      <c r="AB109">
        <v>69984.063624775503</v>
      </c>
      <c r="AC109">
        <v>31781.8976561247</v>
      </c>
      <c r="AD109">
        <v>30048.781940115201</v>
      </c>
      <c r="AE109">
        <v>92877.773727598702</v>
      </c>
      <c r="AF109">
        <v>152503.31934625501</v>
      </c>
      <c r="AG109">
        <v>0</v>
      </c>
      <c r="AH109">
        <v>3</v>
      </c>
      <c r="AI109">
        <v>0</v>
      </c>
      <c r="AJ109">
        <v>4</v>
      </c>
      <c r="AK109">
        <v>269.10000000000002</v>
      </c>
      <c r="AL109">
        <v>3</v>
      </c>
      <c r="AM109" t="s">
        <v>159</v>
      </c>
      <c r="AN109" t="b">
        <v>0</v>
      </c>
      <c r="AO109" t="s">
        <v>159</v>
      </c>
      <c r="AP109">
        <v>3</v>
      </c>
      <c r="AQ109">
        <v>1</v>
      </c>
      <c r="AR109">
        <v>8.9972574562907006</v>
      </c>
      <c r="AS109">
        <v>10</v>
      </c>
      <c r="AT109">
        <v>7.0400277974310601</v>
      </c>
      <c r="AU109">
        <v>7.7295122586300398</v>
      </c>
      <c r="AV109">
        <v>7.1111053396365103</v>
      </c>
      <c r="AW10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</v>
      </c>
      <c r="AX10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</v>
      </c>
      <c r="AY109">
        <v>34</v>
      </c>
      <c r="AZ109">
        <v>34</v>
      </c>
      <c r="BA109">
        <v>7.1111053396365103</v>
      </c>
      <c r="BB109">
        <v>3</v>
      </c>
      <c r="BC109">
        <v>3</v>
      </c>
      <c r="BD109">
        <v>5.5234408188110997</v>
      </c>
      <c r="BE109">
        <v>140578.21022252299</v>
      </c>
      <c r="BF109" t="s">
        <v>619</v>
      </c>
      <c r="BG109" t="s">
        <v>620</v>
      </c>
      <c r="BH109">
        <f>SUMPRODUCT(Results[[#This Row],[RegionLocation_Norm]:[PopEmp_Score_Norm]],[1]דירוג!$C$4:$G$4)</f>
        <v>7.5277922617764021</v>
      </c>
      <c r="BI10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</v>
      </c>
      <c r="BJ10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10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</v>
      </c>
    </row>
    <row r="110" spans="1:63" x14ac:dyDescent="0.2">
      <c r="A110">
        <v>631</v>
      </c>
      <c r="B110">
        <v>34.774727429014803</v>
      </c>
      <c r="C110">
        <v>32.013489389541597</v>
      </c>
      <c r="D110" t="s">
        <v>621</v>
      </c>
      <c r="E110" t="s">
        <v>622</v>
      </c>
      <c r="F110" t="s">
        <v>565</v>
      </c>
      <c r="G110" t="s">
        <v>566</v>
      </c>
      <c r="H110" t="s">
        <v>623</v>
      </c>
      <c r="I110" t="s">
        <v>68</v>
      </c>
      <c r="J110" t="s">
        <v>69</v>
      </c>
      <c r="K110" t="s">
        <v>69</v>
      </c>
      <c r="L110" t="s">
        <v>192</v>
      </c>
      <c r="M110" t="s">
        <v>71</v>
      </c>
      <c r="N110">
        <v>53262.66</v>
      </c>
      <c r="O110">
        <v>37304.14</v>
      </c>
      <c r="P110">
        <v>0.70038071699761095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4</v>
      </c>
      <c r="W110">
        <v>2</v>
      </c>
      <c r="X110">
        <v>0</v>
      </c>
      <c r="Y110">
        <v>27698.8240241278</v>
      </c>
      <c r="Z110">
        <v>7923.4452088382404</v>
      </c>
      <c r="AA110">
        <v>48615.026448524703</v>
      </c>
      <c r="AB110">
        <v>11499.5714697194</v>
      </c>
      <c r="AC110">
        <v>30033.478596842298</v>
      </c>
      <c r="AD110">
        <v>6525.81229517464</v>
      </c>
      <c r="AE110">
        <v>106347.329069495</v>
      </c>
      <c r="AF110">
        <v>25948.828973732299</v>
      </c>
      <c r="AG110">
        <v>0</v>
      </c>
      <c r="AH110">
        <v>2</v>
      </c>
      <c r="AI110">
        <v>0</v>
      </c>
      <c r="AJ110">
        <v>2</v>
      </c>
      <c r="AK110">
        <v>35.200000000000003</v>
      </c>
      <c r="AL110">
        <v>0</v>
      </c>
      <c r="AM110" t="s">
        <v>104</v>
      </c>
      <c r="AN110" t="b">
        <v>0</v>
      </c>
      <c r="AO110" t="s">
        <v>104</v>
      </c>
      <c r="AP110">
        <v>0</v>
      </c>
      <c r="AQ110">
        <v>1</v>
      </c>
      <c r="AR110">
        <v>1.7805965032567701</v>
      </c>
      <c r="AS110">
        <v>1</v>
      </c>
      <c r="AT110">
        <v>6.1583227584428197</v>
      </c>
      <c r="AU110">
        <v>2.98884982275439</v>
      </c>
      <c r="AV110">
        <v>2.6101345166971401</v>
      </c>
      <c r="AW11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43</v>
      </c>
      <c r="AX11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31</v>
      </c>
      <c r="AY110">
        <v>6</v>
      </c>
      <c r="AZ110">
        <v>6</v>
      </c>
      <c r="BA110">
        <v>2.6101345166971401</v>
      </c>
      <c r="BB110">
        <v>102</v>
      </c>
      <c r="BC110">
        <v>45</v>
      </c>
      <c r="BD110">
        <v>4.7264228518226803</v>
      </c>
      <c r="BE110">
        <v>42028.528992884902</v>
      </c>
      <c r="BF110" t="s">
        <v>624</v>
      </c>
      <c r="BG110" t="s">
        <v>625</v>
      </c>
      <c r="BH110">
        <f>SUMPRODUCT(Results[[#This Row],[RegionLocation_Norm]:[PopEmp_Score_Norm]],[1]דירוג!$C$4:$G$4)</f>
        <v>3.9516700562811131</v>
      </c>
      <c r="BI11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30</v>
      </c>
      <c r="BJ11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25</v>
      </c>
      <c r="BK11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24</v>
      </c>
    </row>
    <row r="111" spans="1:63" x14ac:dyDescent="0.2">
      <c r="A111">
        <v>635</v>
      </c>
      <c r="B111">
        <v>34.775258427165902</v>
      </c>
      <c r="C111">
        <v>32.005198717390698</v>
      </c>
      <c r="D111" t="s">
        <v>626</v>
      </c>
      <c r="E111" t="s">
        <v>627</v>
      </c>
      <c r="F111" t="s">
        <v>211</v>
      </c>
      <c r="G111" t="s">
        <v>212</v>
      </c>
      <c r="H111" t="s">
        <v>628</v>
      </c>
      <c r="I111" t="s">
        <v>68</v>
      </c>
      <c r="J111" t="s">
        <v>69</v>
      </c>
      <c r="K111" t="s">
        <v>69</v>
      </c>
      <c r="L111" t="s">
        <v>192</v>
      </c>
      <c r="M111" t="s">
        <v>71</v>
      </c>
      <c r="N111">
        <v>62834.709999999897</v>
      </c>
      <c r="O111">
        <v>32177.93</v>
      </c>
      <c r="P111">
        <v>0.51210437670516795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4</v>
      </c>
      <c r="W111">
        <v>4</v>
      </c>
      <c r="X111">
        <v>0</v>
      </c>
      <c r="Y111">
        <v>25490.579973757602</v>
      </c>
      <c r="Z111">
        <v>4417.6832865585702</v>
      </c>
      <c r="AA111">
        <v>38212.747274471498</v>
      </c>
      <c r="AB111">
        <v>6408.8703385395702</v>
      </c>
      <c r="AC111">
        <v>28709.9718642509</v>
      </c>
      <c r="AD111">
        <v>6431.16267777955</v>
      </c>
      <c r="AE111">
        <v>92413.299112480105</v>
      </c>
      <c r="AF111">
        <v>17257.716302877601</v>
      </c>
      <c r="AG111">
        <v>0</v>
      </c>
      <c r="AH111">
        <v>2</v>
      </c>
      <c r="AI111">
        <v>0</v>
      </c>
      <c r="AJ111">
        <v>2</v>
      </c>
      <c r="AK111">
        <v>48.4</v>
      </c>
      <c r="AL111">
        <v>0</v>
      </c>
      <c r="AM111" t="s">
        <v>104</v>
      </c>
      <c r="AN111" t="b">
        <v>0</v>
      </c>
      <c r="AO111" t="s">
        <v>104</v>
      </c>
      <c r="AP111">
        <v>0</v>
      </c>
      <c r="AQ111">
        <v>1</v>
      </c>
      <c r="AR111">
        <v>2.18786424408639</v>
      </c>
      <c r="AS111">
        <v>1</v>
      </c>
      <c r="AT111">
        <v>6.5226827569403598</v>
      </c>
      <c r="AU111">
        <v>2.5203286566262801</v>
      </c>
      <c r="AV111">
        <v>2.7081838680332502</v>
      </c>
      <c r="AW11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40</v>
      </c>
      <c r="AX11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29</v>
      </c>
      <c r="AY111">
        <v>8</v>
      </c>
      <c r="AZ111">
        <v>8</v>
      </c>
      <c r="BA111">
        <v>2.7081838680332502</v>
      </c>
      <c r="BB111">
        <v>97</v>
      </c>
      <c r="BC111">
        <v>42</v>
      </c>
      <c r="BD111">
        <v>4.79819961502937</v>
      </c>
      <c r="BE111">
        <v>32288.8328647981</v>
      </c>
      <c r="BF111" t="s">
        <v>629</v>
      </c>
      <c r="BG111" t="s">
        <v>630</v>
      </c>
      <c r="BH111">
        <f>SUMPRODUCT(Results[[#This Row],[RegionLocation_Norm]:[PopEmp_Score_Norm]],[1]דירוג!$C$4:$G$4)</f>
        <v>4.1710792512359571</v>
      </c>
      <c r="BI11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24</v>
      </c>
      <c r="BJ11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20</v>
      </c>
      <c r="BK11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20</v>
      </c>
    </row>
    <row r="112" spans="1:63" x14ac:dyDescent="0.2">
      <c r="A112">
        <v>636</v>
      </c>
      <c r="B112">
        <v>34.7533723510195</v>
      </c>
      <c r="C112">
        <v>32.015543379112401</v>
      </c>
      <c r="D112" t="s">
        <v>631</v>
      </c>
      <c r="E112" t="s">
        <v>632</v>
      </c>
      <c r="F112" t="s">
        <v>565</v>
      </c>
      <c r="G112" t="s">
        <v>566</v>
      </c>
      <c r="H112" t="s">
        <v>633</v>
      </c>
      <c r="I112" t="s">
        <v>68</v>
      </c>
      <c r="J112" t="s">
        <v>69</v>
      </c>
      <c r="K112" t="s">
        <v>69</v>
      </c>
      <c r="L112" t="s">
        <v>192</v>
      </c>
      <c r="M112" t="s">
        <v>71</v>
      </c>
      <c r="N112">
        <v>166038.84999999899</v>
      </c>
      <c r="O112">
        <v>147924.20000000001</v>
      </c>
      <c r="P112">
        <v>0.89090113548726702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2</v>
      </c>
      <c r="X112">
        <v>0</v>
      </c>
      <c r="Y112">
        <v>33629.734463954897</v>
      </c>
      <c r="Z112">
        <v>7399.9216196549596</v>
      </c>
      <c r="AA112">
        <v>57962.100527793998</v>
      </c>
      <c r="AB112">
        <v>10526.788844454401</v>
      </c>
      <c r="AC112">
        <v>37520.695903335101</v>
      </c>
      <c r="AD112">
        <v>7519.31065773709</v>
      </c>
      <c r="AE112">
        <v>129112.530895084</v>
      </c>
      <c r="AF112">
        <v>25446.021121846501</v>
      </c>
      <c r="AG112">
        <v>0</v>
      </c>
      <c r="AH112">
        <v>2</v>
      </c>
      <c r="AI112">
        <v>0</v>
      </c>
      <c r="AJ112">
        <v>2</v>
      </c>
      <c r="AK112">
        <v>35.200000000000003</v>
      </c>
      <c r="AL112">
        <v>0</v>
      </c>
      <c r="AM112" t="s">
        <v>104</v>
      </c>
      <c r="AN112" t="b">
        <v>0</v>
      </c>
      <c r="AO112" t="s">
        <v>104</v>
      </c>
      <c r="AP112">
        <v>0</v>
      </c>
      <c r="AQ112">
        <v>1</v>
      </c>
      <c r="AR112">
        <v>1.7805965032567701</v>
      </c>
      <c r="AS112">
        <v>1</v>
      </c>
      <c r="AT112">
        <v>8.6649303752631397</v>
      </c>
      <c r="AU112">
        <v>3.1885208246865901</v>
      </c>
      <c r="AV112">
        <v>3.1405901356903501</v>
      </c>
      <c r="AW11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33</v>
      </c>
      <c r="AX11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23</v>
      </c>
      <c r="AY112">
        <v>6</v>
      </c>
      <c r="AZ112">
        <v>6</v>
      </c>
      <c r="BA112">
        <v>3.1405901356903501</v>
      </c>
      <c r="BB112">
        <v>76</v>
      </c>
      <c r="BC112">
        <v>34</v>
      </c>
      <c r="BD112">
        <v>5.2202097167542698</v>
      </c>
      <c r="BE112">
        <v>46179.323076494002</v>
      </c>
      <c r="BF112" t="s">
        <v>634</v>
      </c>
      <c r="BG112" t="s">
        <v>635</v>
      </c>
      <c r="BH112">
        <f>SUMPRODUCT(Results[[#This Row],[RegionLocation_Norm]:[PopEmp_Score_Norm]],[1]דירוג!$C$4:$G$4)</f>
        <v>5.1775827663898015</v>
      </c>
      <c r="BI11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13</v>
      </c>
      <c r="BJ11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11</v>
      </c>
      <c r="BK11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7</v>
      </c>
    </row>
    <row r="113" spans="1:63" x14ac:dyDescent="0.2">
      <c r="A113">
        <v>638</v>
      </c>
      <c r="B113">
        <v>34.763098205637597</v>
      </c>
      <c r="C113">
        <v>32.014320281479698</v>
      </c>
      <c r="D113" t="s">
        <v>636</v>
      </c>
      <c r="E113" t="s">
        <v>637</v>
      </c>
      <c r="F113" t="s">
        <v>229</v>
      </c>
      <c r="G113" t="s">
        <v>230</v>
      </c>
      <c r="H113" t="s">
        <v>638</v>
      </c>
      <c r="I113" t="s">
        <v>68</v>
      </c>
      <c r="J113" t="s">
        <v>69</v>
      </c>
      <c r="K113" t="s">
        <v>69</v>
      </c>
      <c r="L113" t="s">
        <v>192</v>
      </c>
      <c r="M113" t="s">
        <v>71</v>
      </c>
      <c r="N113">
        <v>247939.7</v>
      </c>
      <c r="O113">
        <v>201506.96</v>
      </c>
      <c r="P113">
        <v>0.81272567483142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6</v>
      </c>
      <c r="X113">
        <v>4</v>
      </c>
      <c r="Y113">
        <v>28332.931379511199</v>
      </c>
      <c r="Z113">
        <v>6177.6849457449998</v>
      </c>
      <c r="AA113">
        <v>50595.647549290799</v>
      </c>
      <c r="AB113">
        <v>11545.0816219874</v>
      </c>
      <c r="AC113">
        <v>33084.921568958998</v>
      </c>
      <c r="AD113">
        <v>7736.6781800183198</v>
      </c>
      <c r="AE113">
        <v>112013.50049776099</v>
      </c>
      <c r="AF113">
        <v>25459.444747750698</v>
      </c>
      <c r="AG113">
        <v>0</v>
      </c>
      <c r="AH113">
        <v>2</v>
      </c>
      <c r="AI113">
        <v>0</v>
      </c>
      <c r="AJ113">
        <v>2</v>
      </c>
      <c r="AK113">
        <v>66</v>
      </c>
      <c r="AL113">
        <v>0</v>
      </c>
      <c r="AM113" t="s">
        <v>104</v>
      </c>
      <c r="AN113" t="b">
        <v>0</v>
      </c>
      <c r="AO113" t="s">
        <v>104</v>
      </c>
      <c r="AP113">
        <v>0</v>
      </c>
      <c r="AQ113">
        <v>1</v>
      </c>
      <c r="AR113">
        <v>2.73088789852588</v>
      </c>
      <c r="AS113">
        <v>1</v>
      </c>
      <c r="AT113">
        <v>9.5488978192781797</v>
      </c>
      <c r="AU113">
        <v>3.02453006881619</v>
      </c>
      <c r="AV113">
        <v>3.5766085959484202</v>
      </c>
      <c r="AW11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23</v>
      </c>
      <c r="AX11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13</v>
      </c>
      <c r="AY113">
        <v>10</v>
      </c>
      <c r="AZ113">
        <v>10</v>
      </c>
      <c r="BA113">
        <v>3.5766085959484202</v>
      </c>
      <c r="BB113">
        <v>53</v>
      </c>
      <c r="BC113">
        <v>22</v>
      </c>
      <c r="BD113">
        <v>5.3943460713846303</v>
      </c>
      <c r="BE113">
        <v>42770.255897752802</v>
      </c>
      <c r="BF113" t="s">
        <v>639</v>
      </c>
      <c r="BG113" t="s">
        <v>640</v>
      </c>
      <c r="BH113">
        <f>SUMPRODUCT(Results[[#This Row],[RegionLocation_Norm]:[PopEmp_Score_Norm]],[1]דירוג!$C$4:$G$4)</f>
        <v>5.8348534576809339</v>
      </c>
      <c r="BI11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</v>
      </c>
      <c r="BJ11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11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</v>
      </c>
    </row>
    <row r="114" spans="1:63" x14ac:dyDescent="0.2">
      <c r="A114">
        <v>644</v>
      </c>
      <c r="B114">
        <v>34.776610602136003</v>
      </c>
      <c r="C114">
        <v>32.037641789187603</v>
      </c>
      <c r="D114" t="s">
        <v>641</v>
      </c>
      <c r="E114" t="s">
        <v>642</v>
      </c>
      <c r="F114" t="s">
        <v>643</v>
      </c>
      <c r="G114" t="s">
        <v>644</v>
      </c>
      <c r="H114" t="s">
        <v>645</v>
      </c>
      <c r="I114" t="s">
        <v>68</v>
      </c>
      <c r="J114" t="s">
        <v>69</v>
      </c>
      <c r="K114" t="s">
        <v>69</v>
      </c>
      <c r="L114" t="s">
        <v>192</v>
      </c>
      <c r="M114" t="s">
        <v>71</v>
      </c>
      <c r="N114">
        <v>111174.24</v>
      </c>
      <c r="O114">
        <v>105713.82</v>
      </c>
      <c r="P114">
        <v>0.95088412567515601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6</v>
      </c>
      <c r="W114">
        <v>4</v>
      </c>
      <c r="X114">
        <v>4</v>
      </c>
      <c r="Y114">
        <v>3129.4373869001302</v>
      </c>
      <c r="Z114">
        <v>5789.5166193166997</v>
      </c>
      <c r="AA114">
        <v>13884.487260423301</v>
      </c>
      <c r="AB114">
        <v>10425.5430663715</v>
      </c>
      <c r="AC114">
        <v>13831.231484469101</v>
      </c>
      <c r="AD114">
        <v>8064.9714230808304</v>
      </c>
      <c r="AE114">
        <v>30845.156131792599</v>
      </c>
      <c r="AF114">
        <v>24280.031108768999</v>
      </c>
      <c r="AG114">
        <v>0</v>
      </c>
      <c r="AH114">
        <v>2</v>
      </c>
      <c r="AI114">
        <v>0</v>
      </c>
      <c r="AJ114">
        <v>3</v>
      </c>
      <c r="AK114">
        <v>93.6</v>
      </c>
      <c r="AL114">
        <v>3</v>
      </c>
      <c r="AM114" t="s">
        <v>104</v>
      </c>
      <c r="AN114" t="b">
        <v>0</v>
      </c>
      <c r="AO114" t="s">
        <v>104</v>
      </c>
      <c r="AP114">
        <v>3</v>
      </c>
      <c r="AQ114">
        <v>1</v>
      </c>
      <c r="AR114">
        <v>3.5824477202605398</v>
      </c>
      <c r="AS114">
        <v>10</v>
      </c>
      <c r="AT114">
        <v>7.78061168780079</v>
      </c>
      <c r="AU114">
        <v>2.1982330706393398</v>
      </c>
      <c r="AV114">
        <v>5.1181593731523698</v>
      </c>
      <c r="AW11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</v>
      </c>
      <c r="AX11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114">
        <v>14</v>
      </c>
      <c r="AZ114">
        <v>14</v>
      </c>
      <c r="BA114">
        <v>5.1181593731523698</v>
      </c>
      <c r="BB114">
        <v>19</v>
      </c>
      <c r="BC114">
        <v>4</v>
      </c>
      <c r="BD114">
        <v>5.0460041692436599</v>
      </c>
      <c r="BE114">
        <v>25593.056113373699</v>
      </c>
      <c r="BF114" t="s">
        <v>646</v>
      </c>
      <c r="BG114" t="s">
        <v>647</v>
      </c>
      <c r="BH114">
        <f>SUMPRODUCT(Results[[#This Row],[RegionLocation_Norm]:[PopEmp_Score_Norm]],[1]דירוג!$C$4:$G$4)</f>
        <v>5.6455301157782518</v>
      </c>
      <c r="BI11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6</v>
      </c>
      <c r="BJ11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6</v>
      </c>
      <c r="BK11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14</v>
      </c>
    </row>
    <row r="115" spans="1:63" x14ac:dyDescent="0.2">
      <c r="A115">
        <v>656</v>
      </c>
      <c r="B115">
        <v>34.795044085093402</v>
      </c>
      <c r="C115">
        <v>32.010859691943097</v>
      </c>
      <c r="D115" t="s">
        <v>648</v>
      </c>
      <c r="E115" t="s">
        <v>649</v>
      </c>
      <c r="F115" t="s">
        <v>281</v>
      </c>
      <c r="G115" t="s">
        <v>282</v>
      </c>
      <c r="H115" t="s">
        <v>650</v>
      </c>
      <c r="I115" t="s">
        <v>68</v>
      </c>
      <c r="J115" t="s">
        <v>69</v>
      </c>
      <c r="K115" t="s">
        <v>69</v>
      </c>
      <c r="L115" t="s">
        <v>192</v>
      </c>
      <c r="M115" t="s">
        <v>71</v>
      </c>
      <c r="N115">
        <v>115098.98</v>
      </c>
      <c r="O115">
        <v>106247.7</v>
      </c>
      <c r="P115">
        <v>0.92309853658129704</v>
      </c>
      <c r="Q115">
        <v>2</v>
      </c>
      <c r="R115">
        <v>0</v>
      </c>
      <c r="S115">
        <v>0</v>
      </c>
      <c r="T115">
        <v>0</v>
      </c>
      <c r="U115">
        <v>0</v>
      </c>
      <c r="V115">
        <v>2</v>
      </c>
      <c r="W115">
        <v>2</v>
      </c>
      <c r="X115">
        <v>0</v>
      </c>
      <c r="Y115">
        <v>17454.208476479602</v>
      </c>
      <c r="Z115">
        <v>6435.9747201851196</v>
      </c>
      <c r="AA115">
        <v>24363.673385685899</v>
      </c>
      <c r="AB115">
        <v>12854.345352505699</v>
      </c>
      <c r="AC115">
        <v>15300.167656350501</v>
      </c>
      <c r="AD115">
        <v>9710.7727949052296</v>
      </c>
      <c r="AE115">
        <v>57118.049518516098</v>
      </c>
      <c r="AF115">
        <v>29001.092867595999</v>
      </c>
      <c r="AG115">
        <v>0</v>
      </c>
      <c r="AH115">
        <v>2</v>
      </c>
      <c r="AI115">
        <v>0</v>
      </c>
      <c r="AJ115">
        <v>3</v>
      </c>
      <c r="AK115">
        <v>36</v>
      </c>
      <c r="AL115">
        <v>0</v>
      </c>
      <c r="AM115" t="s">
        <v>104</v>
      </c>
      <c r="AN115" t="b">
        <v>0</v>
      </c>
      <c r="AO115" t="s">
        <v>104</v>
      </c>
      <c r="AP115">
        <v>0</v>
      </c>
      <c r="AQ115">
        <v>1</v>
      </c>
      <c r="AR115">
        <v>1.80527939664038</v>
      </c>
      <c r="AS115">
        <v>1</v>
      </c>
      <c r="AT115">
        <v>7.8570977710609098</v>
      </c>
      <c r="AU115">
        <v>2.6326835054640898</v>
      </c>
      <c r="AV115">
        <v>2.8601409409369301</v>
      </c>
      <c r="AW11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38</v>
      </c>
      <c r="AX11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27</v>
      </c>
      <c r="AY115">
        <v>6</v>
      </c>
      <c r="AZ115">
        <v>6</v>
      </c>
      <c r="BA115">
        <v>2.8601409409369301</v>
      </c>
      <c r="BB115">
        <v>89</v>
      </c>
      <c r="BC115">
        <v>39</v>
      </c>
      <c r="BD115">
        <v>5.0610714749561598</v>
      </c>
      <c r="BE115">
        <v>34624.484197780002</v>
      </c>
      <c r="BF115" t="s">
        <v>651</v>
      </c>
      <c r="BG115" t="s">
        <v>652</v>
      </c>
      <c r="BH115">
        <f>SUMPRODUCT(Results[[#This Row],[RegionLocation_Norm]:[PopEmp_Score_Norm]],[1]דירוג!$C$4:$G$4)</f>
        <v>4.7208664583161664</v>
      </c>
      <c r="BI11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18</v>
      </c>
      <c r="BJ11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15</v>
      </c>
      <c r="BK11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13</v>
      </c>
    </row>
    <row r="116" spans="1:63" x14ac:dyDescent="0.2">
      <c r="A116">
        <v>668</v>
      </c>
      <c r="B116">
        <v>34.7604640629649</v>
      </c>
      <c r="C116">
        <v>32.035316418752103</v>
      </c>
      <c r="D116" t="s">
        <v>653</v>
      </c>
      <c r="E116" t="s">
        <v>654</v>
      </c>
      <c r="F116" t="s">
        <v>655</v>
      </c>
      <c r="G116" t="s">
        <v>656</v>
      </c>
      <c r="H116" t="s">
        <v>657</v>
      </c>
      <c r="I116" t="s">
        <v>68</v>
      </c>
      <c r="J116" t="s">
        <v>69</v>
      </c>
      <c r="K116" t="s">
        <v>69</v>
      </c>
      <c r="L116" t="s">
        <v>192</v>
      </c>
      <c r="M116" t="s">
        <v>71</v>
      </c>
      <c r="N116">
        <v>75179.850000000006</v>
      </c>
      <c r="O116">
        <v>61183.879999999903</v>
      </c>
      <c r="P116">
        <v>0.81383349394817805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3</v>
      </c>
      <c r="X116">
        <v>3</v>
      </c>
      <c r="Y116">
        <v>17758.697543504</v>
      </c>
      <c r="Z116">
        <v>8651.6189401306201</v>
      </c>
      <c r="AA116">
        <v>33990.119868405403</v>
      </c>
      <c r="AB116">
        <v>8046.6455319584502</v>
      </c>
      <c r="AC116">
        <v>19591.396696203199</v>
      </c>
      <c r="AD116">
        <v>4825.3483933664602</v>
      </c>
      <c r="AE116">
        <v>71340.214108112705</v>
      </c>
      <c r="AF116">
        <v>21523.6128654555</v>
      </c>
      <c r="AG116">
        <v>0</v>
      </c>
      <c r="AH116">
        <v>2</v>
      </c>
      <c r="AI116">
        <v>0</v>
      </c>
      <c r="AJ116">
        <v>2</v>
      </c>
      <c r="AK116">
        <v>39.6</v>
      </c>
      <c r="AL116">
        <v>2</v>
      </c>
      <c r="AM116" t="s">
        <v>104</v>
      </c>
      <c r="AN116" t="b">
        <v>0</v>
      </c>
      <c r="AO116" t="s">
        <v>104</v>
      </c>
      <c r="AP116">
        <v>2</v>
      </c>
      <c r="AQ116">
        <v>1</v>
      </c>
      <c r="AR116">
        <v>1.9163524168666399</v>
      </c>
      <c r="AS116">
        <v>7</v>
      </c>
      <c r="AT116">
        <v>6.9181354491253604</v>
      </c>
      <c r="AU116">
        <v>2.48175383853884</v>
      </c>
      <c r="AV116">
        <v>3.93281723801414</v>
      </c>
      <c r="AW11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18</v>
      </c>
      <c r="AX11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11</v>
      </c>
      <c r="AY116">
        <v>6</v>
      </c>
      <c r="AZ116">
        <v>6</v>
      </c>
      <c r="BA116">
        <v>3.93281723801414</v>
      </c>
      <c r="BB116">
        <v>44</v>
      </c>
      <c r="BC116">
        <v>17</v>
      </c>
      <c r="BD116">
        <v>4.8761014548675803</v>
      </c>
      <c r="BE116">
        <v>31486.933113986899</v>
      </c>
      <c r="BF116" t="s">
        <v>658</v>
      </c>
      <c r="BG116" t="s">
        <v>659</v>
      </c>
      <c r="BH116">
        <f>SUMPRODUCT(Results[[#This Row],[RegionLocation_Norm]:[PopEmp_Score_Norm]],[1]דירוג!$C$4:$G$4)</f>
        <v>4.6411640332096802</v>
      </c>
      <c r="BI11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21</v>
      </c>
      <c r="BJ11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18</v>
      </c>
      <c r="BK11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17</v>
      </c>
    </row>
    <row r="117" spans="1:63" x14ac:dyDescent="0.2">
      <c r="A117">
        <v>678</v>
      </c>
      <c r="B117">
        <v>34.758030887031097</v>
      </c>
      <c r="C117">
        <v>31.988070937336001</v>
      </c>
      <c r="D117" t="s">
        <v>660</v>
      </c>
      <c r="E117" t="s">
        <v>661</v>
      </c>
      <c r="F117" t="s">
        <v>662</v>
      </c>
      <c r="G117" t="s">
        <v>663</v>
      </c>
      <c r="H117" t="s">
        <v>664</v>
      </c>
      <c r="I117" t="s">
        <v>68</v>
      </c>
      <c r="J117" t="s">
        <v>69</v>
      </c>
      <c r="K117" t="s">
        <v>69</v>
      </c>
      <c r="L117" t="s">
        <v>167</v>
      </c>
      <c r="M117" t="s">
        <v>71</v>
      </c>
      <c r="N117">
        <v>70644.429999999993</v>
      </c>
      <c r="O117">
        <v>46215.67</v>
      </c>
      <c r="P117">
        <v>0.654201187552932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11</v>
      </c>
      <c r="W117">
        <v>0</v>
      </c>
      <c r="X117">
        <v>4</v>
      </c>
      <c r="Y117">
        <v>4044.2315826337399</v>
      </c>
      <c r="Z117">
        <v>15045.7614311448</v>
      </c>
      <c r="AA117">
        <v>10805.842448380399</v>
      </c>
      <c r="AB117">
        <v>20950.6267540277</v>
      </c>
      <c r="AC117">
        <v>6727.48167002028</v>
      </c>
      <c r="AD117">
        <v>10881.325969143099</v>
      </c>
      <c r="AE117">
        <v>21577.555701034398</v>
      </c>
      <c r="AF117">
        <v>46877.714154315603</v>
      </c>
      <c r="AG117">
        <v>0</v>
      </c>
      <c r="AH117">
        <v>2</v>
      </c>
      <c r="AI117">
        <v>0</v>
      </c>
      <c r="AJ117">
        <v>2</v>
      </c>
      <c r="AK117">
        <v>86.9</v>
      </c>
      <c r="AL117">
        <v>0</v>
      </c>
      <c r="AM117" t="s">
        <v>104</v>
      </c>
      <c r="AN117" t="b">
        <v>0</v>
      </c>
      <c r="AO117" t="s">
        <v>104</v>
      </c>
      <c r="AP117">
        <v>0</v>
      </c>
      <c r="AQ117">
        <v>1</v>
      </c>
      <c r="AR117">
        <v>3.37572848817278</v>
      </c>
      <c r="AS117">
        <v>1</v>
      </c>
      <c r="AT117">
        <v>6.7809560509753704</v>
      </c>
      <c r="AU117">
        <v>2.97870720018715</v>
      </c>
      <c r="AV117">
        <v>3.2824785467653399</v>
      </c>
      <c r="AW11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28</v>
      </c>
      <c r="AX11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18</v>
      </c>
      <c r="AY117">
        <v>15</v>
      </c>
      <c r="AZ117">
        <v>15</v>
      </c>
      <c r="BA117">
        <v>3.2824785467653399</v>
      </c>
      <c r="BB117">
        <v>67</v>
      </c>
      <c r="BC117">
        <v>28</v>
      </c>
      <c r="BD117">
        <v>4.8490779253406098</v>
      </c>
      <c r="BE117">
        <v>41817.682463659403</v>
      </c>
      <c r="BF117" t="s">
        <v>665</v>
      </c>
      <c r="BG117" t="s">
        <v>666</v>
      </c>
      <c r="BH117">
        <f>SUMPRODUCT(Results[[#This Row],[RegionLocation_Norm]:[PopEmp_Score_Norm]],[1]דירוג!$C$4:$G$4)</f>
        <v>4.6801597134870638</v>
      </c>
      <c r="BI11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20</v>
      </c>
      <c r="BJ11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17</v>
      </c>
      <c r="BK11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18</v>
      </c>
    </row>
    <row r="118" spans="1:63" x14ac:dyDescent="0.2">
      <c r="A118">
        <v>694</v>
      </c>
      <c r="B118">
        <v>34.854493109240103</v>
      </c>
      <c r="C118">
        <v>32.0331496806117</v>
      </c>
      <c r="D118" t="s">
        <v>667</v>
      </c>
      <c r="E118" t="s">
        <v>668</v>
      </c>
      <c r="F118" t="s">
        <v>211</v>
      </c>
      <c r="G118" t="s">
        <v>212</v>
      </c>
      <c r="H118" t="s">
        <v>445</v>
      </c>
      <c r="I118" t="s">
        <v>68</v>
      </c>
      <c r="J118" t="s">
        <v>69</v>
      </c>
      <c r="K118" t="s">
        <v>69</v>
      </c>
      <c r="L118" t="s">
        <v>192</v>
      </c>
      <c r="M118" t="s">
        <v>71</v>
      </c>
      <c r="N118">
        <v>44049.73</v>
      </c>
      <c r="O118">
        <v>27365.4</v>
      </c>
      <c r="P118">
        <v>0.62123876809233503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2</v>
      </c>
      <c r="W118">
        <v>2</v>
      </c>
      <c r="X118">
        <v>0</v>
      </c>
      <c r="Y118">
        <v>14844.5169159855</v>
      </c>
      <c r="Z118">
        <v>5203.9624803774504</v>
      </c>
      <c r="AA118">
        <v>28416.941095112499</v>
      </c>
      <c r="AB118">
        <v>11262.212060866001</v>
      </c>
      <c r="AC118">
        <v>18684.749996555402</v>
      </c>
      <c r="AD118">
        <v>8303.6080003941006</v>
      </c>
      <c r="AE118">
        <v>61946.208007653397</v>
      </c>
      <c r="AF118">
        <v>24769.7825416376</v>
      </c>
      <c r="AG118">
        <v>0</v>
      </c>
      <c r="AH118">
        <v>2</v>
      </c>
      <c r="AI118">
        <v>0</v>
      </c>
      <c r="AJ118">
        <v>2</v>
      </c>
      <c r="AK118">
        <v>24.2</v>
      </c>
      <c r="AL118">
        <v>0</v>
      </c>
      <c r="AM118" t="s">
        <v>104</v>
      </c>
      <c r="AN118" t="b">
        <v>0</v>
      </c>
      <c r="AO118" t="s">
        <v>104</v>
      </c>
      <c r="AP118">
        <v>0</v>
      </c>
      <c r="AQ118">
        <v>1</v>
      </c>
      <c r="AR118">
        <v>1.4412067192320801</v>
      </c>
      <c r="AS118">
        <v>1</v>
      </c>
      <c r="AT118">
        <v>5.7396320015621596</v>
      </c>
      <c r="AU118">
        <v>2.5162991897204798</v>
      </c>
      <c r="AV118">
        <v>2.27619648692662</v>
      </c>
      <c r="AW11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48</v>
      </c>
      <c r="AX11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36</v>
      </c>
      <c r="AY118">
        <v>4</v>
      </c>
      <c r="AZ118">
        <v>4</v>
      </c>
      <c r="BA118">
        <v>2.27619648692662</v>
      </c>
      <c r="BB118">
        <v>118</v>
      </c>
      <c r="BC118">
        <v>50</v>
      </c>
      <c r="BD118">
        <v>4.6439432507760001</v>
      </c>
      <c r="BE118">
        <v>32205.0676348407</v>
      </c>
      <c r="BF118" t="s">
        <v>446</v>
      </c>
      <c r="BG118" t="s">
        <v>669</v>
      </c>
      <c r="BH118">
        <f>SUMPRODUCT(Results[[#This Row],[RegionLocation_Norm]:[PopEmp_Score_Norm]],[1]דירוג!$C$4:$G$4)</f>
        <v>3.5938767050297526</v>
      </c>
      <c r="BI11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36</v>
      </c>
      <c r="BJ11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29</v>
      </c>
      <c r="BK11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30</v>
      </c>
    </row>
    <row r="119" spans="1:63" x14ac:dyDescent="0.2">
      <c r="A119">
        <v>697</v>
      </c>
      <c r="B119">
        <v>34.845988723278097</v>
      </c>
      <c r="C119">
        <v>32.0456108497754</v>
      </c>
      <c r="D119" t="s">
        <v>670</v>
      </c>
      <c r="E119" t="s">
        <v>671</v>
      </c>
      <c r="F119" t="s">
        <v>211</v>
      </c>
      <c r="G119" t="s">
        <v>212</v>
      </c>
      <c r="H119" t="s">
        <v>445</v>
      </c>
      <c r="I119" t="s">
        <v>68</v>
      </c>
      <c r="J119" t="s">
        <v>69</v>
      </c>
      <c r="K119" t="s">
        <v>69</v>
      </c>
      <c r="L119" t="s">
        <v>192</v>
      </c>
      <c r="M119" t="s">
        <v>71</v>
      </c>
      <c r="N119">
        <v>43262.25</v>
      </c>
      <c r="O119">
        <v>5781.33</v>
      </c>
      <c r="P119">
        <v>0.133634519702512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2</v>
      </c>
      <c r="W119">
        <v>2</v>
      </c>
      <c r="X119">
        <v>0</v>
      </c>
      <c r="Y119">
        <v>14783.4003057506</v>
      </c>
      <c r="Z119">
        <v>10159.506381127099</v>
      </c>
      <c r="AA119">
        <v>25092.458544331399</v>
      </c>
      <c r="AB119">
        <v>11585.749984325499</v>
      </c>
      <c r="AC119">
        <v>15293.090922085499</v>
      </c>
      <c r="AD119">
        <v>6982.8376082220102</v>
      </c>
      <c r="AE119">
        <v>55168.949772167602</v>
      </c>
      <c r="AF119">
        <v>28728.0939736746</v>
      </c>
      <c r="AG119">
        <v>0</v>
      </c>
      <c r="AH119">
        <v>2</v>
      </c>
      <c r="AI119">
        <v>0</v>
      </c>
      <c r="AJ119">
        <v>2</v>
      </c>
      <c r="AK119">
        <v>24.2</v>
      </c>
      <c r="AL119">
        <v>0</v>
      </c>
      <c r="AM119" t="s">
        <v>104</v>
      </c>
      <c r="AN119" t="b">
        <v>0</v>
      </c>
      <c r="AO119" t="s">
        <v>104</v>
      </c>
      <c r="AP119">
        <v>0</v>
      </c>
      <c r="AQ119">
        <v>1</v>
      </c>
      <c r="AR119">
        <v>1.4412067192320801</v>
      </c>
      <c r="AS119">
        <v>1</v>
      </c>
      <c r="AT119">
        <v>5.6998635573917698</v>
      </c>
      <c r="AU119">
        <v>2.6034255592643598</v>
      </c>
      <c r="AV119">
        <v>2.3593721564328001</v>
      </c>
      <c r="AW119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46</v>
      </c>
      <c r="AX119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34</v>
      </c>
      <c r="AY119">
        <v>4</v>
      </c>
      <c r="AZ119">
        <v>4</v>
      </c>
      <c r="BA119">
        <v>2.3593721564328001</v>
      </c>
      <c r="BB119">
        <v>112</v>
      </c>
      <c r="BC119">
        <v>48</v>
      </c>
      <c r="BD119">
        <v>4.6361091026475298</v>
      </c>
      <c r="BE119">
        <v>34016.265133373199</v>
      </c>
      <c r="BF119" t="s">
        <v>446</v>
      </c>
      <c r="BG119" t="s">
        <v>672</v>
      </c>
      <c r="BH119">
        <f>SUMPRODUCT(Results[[#This Row],[RegionLocation_Norm]:[PopEmp_Score_Norm]],[1]דירוג!$C$4:$G$4)</f>
        <v>3.5869779540829057</v>
      </c>
      <c r="BI119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37</v>
      </c>
      <c r="BJ119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30</v>
      </c>
      <c r="BK119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31</v>
      </c>
    </row>
    <row r="120" spans="1:63" x14ac:dyDescent="0.2">
      <c r="A120">
        <v>783</v>
      </c>
      <c r="B120">
        <v>35.224146182119803</v>
      </c>
      <c r="C120">
        <v>31.767850043608998</v>
      </c>
      <c r="D120" t="s">
        <v>673</v>
      </c>
      <c r="E120" t="s">
        <v>674</v>
      </c>
      <c r="F120" t="s">
        <v>241</v>
      </c>
      <c r="G120" t="s">
        <v>242</v>
      </c>
      <c r="H120" t="s">
        <v>675</v>
      </c>
      <c r="I120" t="s">
        <v>68</v>
      </c>
      <c r="J120" t="s">
        <v>315</v>
      </c>
      <c r="K120" t="s">
        <v>315</v>
      </c>
      <c r="L120" t="s">
        <v>316</v>
      </c>
      <c r="M120" t="s">
        <v>317</v>
      </c>
      <c r="N120">
        <v>82767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8</v>
      </c>
      <c r="W120">
        <v>0</v>
      </c>
      <c r="X120">
        <v>6</v>
      </c>
      <c r="Y120">
        <v>14811.660627658501</v>
      </c>
      <c r="Z120">
        <v>6634.8621820690796</v>
      </c>
      <c r="AA120">
        <v>28080.818596173802</v>
      </c>
      <c r="AB120">
        <v>12741.982626216601</v>
      </c>
      <c r="AC120">
        <v>22997.6852539018</v>
      </c>
      <c r="AD120">
        <v>10739.8695673081</v>
      </c>
      <c r="AE120">
        <v>65890.164477734099</v>
      </c>
      <c r="AF120">
        <v>30116.7143755939</v>
      </c>
      <c r="AG120">
        <v>1</v>
      </c>
      <c r="AH120">
        <v>3</v>
      </c>
      <c r="AI120">
        <v>3</v>
      </c>
      <c r="AJ120">
        <v>2</v>
      </c>
      <c r="AK120">
        <v>83.6</v>
      </c>
      <c r="AL120">
        <v>2</v>
      </c>
      <c r="AM120" t="s">
        <v>104</v>
      </c>
      <c r="AN120" t="b">
        <v>0</v>
      </c>
      <c r="AO120" t="s">
        <v>104</v>
      </c>
      <c r="AP120">
        <v>2</v>
      </c>
      <c r="AQ120">
        <v>10</v>
      </c>
      <c r="AR120">
        <v>3.27391155296537</v>
      </c>
      <c r="AS120">
        <v>7</v>
      </c>
      <c r="AT120">
        <v>7.1300999849960398</v>
      </c>
      <c r="AU120">
        <v>2.7600117220346299</v>
      </c>
      <c r="AV120">
        <v>6.18204297561359</v>
      </c>
      <c r="AW120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3</v>
      </c>
      <c r="AX120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120">
        <v>14</v>
      </c>
      <c r="AZ120">
        <v>14</v>
      </c>
      <c r="BA120">
        <v>6.18204297561359</v>
      </c>
      <c r="BB120">
        <v>7</v>
      </c>
      <c r="BC120">
        <v>3</v>
      </c>
      <c r="BD120">
        <v>4.9178572139029901</v>
      </c>
      <c r="BE120">
        <v>37271.404396021899</v>
      </c>
      <c r="BF120" t="s">
        <v>676</v>
      </c>
      <c r="BG120" t="s">
        <v>677</v>
      </c>
      <c r="BH120">
        <f>SUMPRODUCT(Results[[#This Row],[RegionLocation_Norm]:[PopEmp_Score_Norm]],[1]דירוג!$C$4:$G$4)</f>
        <v>5.5990594530445357</v>
      </c>
      <c r="BI120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7</v>
      </c>
      <c r="BJ120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120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16</v>
      </c>
    </row>
    <row r="121" spans="1:63" x14ac:dyDescent="0.2">
      <c r="A121">
        <v>812</v>
      </c>
      <c r="B121">
        <v>35.098505145167302</v>
      </c>
      <c r="C121">
        <v>33.005430734167803</v>
      </c>
      <c r="D121" t="s">
        <v>678</v>
      </c>
      <c r="E121" t="s">
        <v>679</v>
      </c>
      <c r="F121" t="s">
        <v>528</v>
      </c>
      <c r="G121" t="s">
        <v>529</v>
      </c>
      <c r="H121" t="s">
        <v>680</v>
      </c>
      <c r="I121" t="s">
        <v>68</v>
      </c>
      <c r="J121" t="s">
        <v>101</v>
      </c>
      <c r="K121" t="s">
        <v>101</v>
      </c>
      <c r="L121" t="s">
        <v>70</v>
      </c>
      <c r="M121" t="s">
        <v>71</v>
      </c>
      <c r="N121">
        <v>24623.819497</v>
      </c>
      <c r="O121">
        <v>19980.965510000002</v>
      </c>
      <c r="P121">
        <v>0.81144866711008601</v>
      </c>
      <c r="Q121">
        <v>0</v>
      </c>
      <c r="R121">
        <v>0</v>
      </c>
      <c r="S121">
        <v>0</v>
      </c>
      <c r="T121">
        <v>2</v>
      </c>
      <c r="U121">
        <v>2</v>
      </c>
      <c r="V121">
        <v>0</v>
      </c>
      <c r="W121">
        <v>0</v>
      </c>
      <c r="X121">
        <v>0</v>
      </c>
      <c r="Y121">
        <v>13007.7970312015</v>
      </c>
      <c r="Z121">
        <v>9200.8729341312701</v>
      </c>
      <c r="AA121">
        <v>21023.423758783501</v>
      </c>
      <c r="AB121">
        <v>8446.9158196051794</v>
      </c>
      <c r="AC121">
        <v>10808.510229592899</v>
      </c>
      <c r="AD121">
        <v>3001.9947433247598</v>
      </c>
      <c r="AE121">
        <v>44839.731019578001</v>
      </c>
      <c r="AF121">
        <v>20649.783497061198</v>
      </c>
      <c r="AG121">
        <v>1</v>
      </c>
      <c r="AH121">
        <v>2</v>
      </c>
      <c r="AI121">
        <v>2</v>
      </c>
      <c r="AJ121">
        <v>2</v>
      </c>
      <c r="AK121">
        <v>33</v>
      </c>
      <c r="AL121">
        <v>2</v>
      </c>
      <c r="AM121" t="s">
        <v>104</v>
      </c>
      <c r="AN121" t="b">
        <v>0</v>
      </c>
      <c r="AO121" t="s">
        <v>104</v>
      </c>
      <c r="AP121">
        <v>2</v>
      </c>
      <c r="AQ121">
        <v>7</v>
      </c>
      <c r="AR121">
        <v>1.71271854645183</v>
      </c>
      <c r="AS121">
        <v>7</v>
      </c>
      <c r="AT121">
        <v>4.4574217441236801</v>
      </c>
      <c r="AU121">
        <v>2.1931685013068098</v>
      </c>
      <c r="AV121">
        <v>4.5353782228503698</v>
      </c>
      <c r="AW121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9</v>
      </c>
      <c r="AX121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4</v>
      </c>
      <c r="AY121">
        <v>4</v>
      </c>
      <c r="AZ121">
        <v>4</v>
      </c>
      <c r="BA121">
        <v>4.5353782228503698</v>
      </c>
      <c r="BB121">
        <v>32</v>
      </c>
      <c r="BC121">
        <v>9</v>
      </c>
      <c r="BD121">
        <v>4.3913554189370299</v>
      </c>
      <c r="BE121">
        <v>25487.773001564499</v>
      </c>
      <c r="BF121" t="s">
        <v>681</v>
      </c>
      <c r="BG121" t="s">
        <v>682</v>
      </c>
      <c r="BH121">
        <f>SUMPRODUCT(Results[[#This Row],[RegionLocation_Norm]:[PopEmp_Score_Norm]],[1]דירוג!$C$4:$G$4)</f>
        <v>3.6696447414612119</v>
      </c>
      <c r="BI121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33</v>
      </c>
      <c r="BJ121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4</v>
      </c>
      <c r="BK121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40</v>
      </c>
    </row>
    <row r="122" spans="1:63" x14ac:dyDescent="0.2">
      <c r="A122">
        <v>892</v>
      </c>
      <c r="B122">
        <v>34.6620514797605</v>
      </c>
      <c r="C122">
        <v>31.8208331075319</v>
      </c>
      <c r="D122" t="s">
        <v>683</v>
      </c>
      <c r="E122" t="s">
        <v>684</v>
      </c>
      <c r="F122" t="s">
        <v>65</v>
      </c>
      <c r="G122" t="s">
        <v>66</v>
      </c>
      <c r="H122" t="s">
        <v>685</v>
      </c>
      <c r="I122" t="s">
        <v>68</v>
      </c>
      <c r="J122" t="s">
        <v>69</v>
      </c>
      <c r="K122" t="s">
        <v>69</v>
      </c>
      <c r="L122" t="s">
        <v>70</v>
      </c>
      <c r="M122" t="s">
        <v>71</v>
      </c>
      <c r="N122">
        <v>9714.76</v>
      </c>
      <c r="O122">
        <v>150.16</v>
      </c>
      <c r="P122">
        <v>1.54568923987828E-2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6</v>
      </c>
      <c r="W122">
        <v>0</v>
      </c>
      <c r="X122">
        <v>0</v>
      </c>
      <c r="Y122">
        <v>7236.4235935344104</v>
      </c>
      <c r="Z122">
        <v>5429.16597296495</v>
      </c>
      <c r="AA122">
        <v>8543.1167714181793</v>
      </c>
      <c r="AB122">
        <v>6802.1737147406902</v>
      </c>
      <c r="AC122">
        <v>4137.0214050980903</v>
      </c>
      <c r="AD122">
        <v>3400.3687183759598</v>
      </c>
      <c r="AE122">
        <v>19916.561770050601</v>
      </c>
      <c r="AF122">
        <v>15631.7084060816</v>
      </c>
      <c r="AG122">
        <v>0</v>
      </c>
      <c r="AH122">
        <v>2</v>
      </c>
      <c r="AI122">
        <v>0</v>
      </c>
      <c r="AJ122">
        <v>2</v>
      </c>
      <c r="AK122">
        <v>37.4</v>
      </c>
      <c r="AL122">
        <v>0</v>
      </c>
      <c r="AM122" t="s">
        <v>121</v>
      </c>
      <c r="AN122" t="b">
        <v>0</v>
      </c>
      <c r="AO122" t="s">
        <v>121</v>
      </c>
      <c r="AP122">
        <v>0</v>
      </c>
      <c r="AQ122">
        <v>1</v>
      </c>
      <c r="AR122">
        <v>1.8484744600617</v>
      </c>
      <c r="AS122">
        <v>1</v>
      </c>
      <c r="AT122">
        <v>5.36650413320982</v>
      </c>
      <c r="AU122">
        <v>1.8839453754225399</v>
      </c>
      <c r="AV122">
        <v>2.4079006543762702</v>
      </c>
      <c r="AW122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26</v>
      </c>
      <c r="AX122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16</v>
      </c>
      <c r="AY122">
        <v>7</v>
      </c>
      <c r="AZ122">
        <v>7</v>
      </c>
      <c r="BA122">
        <v>2.4079006543762702</v>
      </c>
      <c r="BB122">
        <v>108</v>
      </c>
      <c r="BC122">
        <v>26</v>
      </c>
      <c r="BD122">
        <v>3.9874320759637798</v>
      </c>
      <c r="BE122">
        <v>19059.591097256802</v>
      </c>
      <c r="BF122" t="s">
        <v>686</v>
      </c>
      <c r="BG122" t="s">
        <v>687</v>
      </c>
      <c r="BH122">
        <f>SUMPRODUCT(Results[[#This Row],[RegionLocation_Norm]:[PopEmp_Score_Norm]],[1]דירוג!$C$4:$G$4)</f>
        <v>3.4379939615347479</v>
      </c>
      <c r="BI122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20</v>
      </c>
      <c r="BJ122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16</v>
      </c>
      <c r="BK122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18</v>
      </c>
    </row>
    <row r="123" spans="1:63" x14ac:dyDescent="0.2">
      <c r="A123">
        <v>897</v>
      </c>
      <c r="B123">
        <v>34.671019126365998</v>
      </c>
      <c r="C123">
        <v>31.827801757662598</v>
      </c>
      <c r="D123" t="s">
        <v>688</v>
      </c>
      <c r="E123" t="s">
        <v>689</v>
      </c>
      <c r="F123" t="s">
        <v>65</v>
      </c>
      <c r="G123" t="s">
        <v>66</v>
      </c>
      <c r="H123" t="s">
        <v>690</v>
      </c>
      <c r="I123" t="s">
        <v>68</v>
      </c>
      <c r="J123" t="s">
        <v>69</v>
      </c>
      <c r="K123" t="s">
        <v>69</v>
      </c>
      <c r="L123" t="s">
        <v>70</v>
      </c>
      <c r="M123" t="s">
        <v>71</v>
      </c>
      <c r="N123">
        <v>19749.686900000001</v>
      </c>
      <c r="O123">
        <v>19705.59</v>
      </c>
      <c r="P123">
        <v>0.99776721017283498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4</v>
      </c>
      <c r="W123">
        <v>0</v>
      </c>
      <c r="X123">
        <v>0</v>
      </c>
      <c r="Y123">
        <v>2359.0489749011199</v>
      </c>
      <c r="Z123">
        <v>2376.9561984752399</v>
      </c>
      <c r="AA123">
        <v>3543.2777058739098</v>
      </c>
      <c r="AB123">
        <v>3566.27689547297</v>
      </c>
      <c r="AC123">
        <v>2388.5202619811598</v>
      </c>
      <c r="AD123">
        <v>2370.9620097126299</v>
      </c>
      <c r="AE123">
        <v>8290.8469427561904</v>
      </c>
      <c r="AF123">
        <v>8314.1951036608607</v>
      </c>
      <c r="AG123">
        <v>0</v>
      </c>
      <c r="AH123">
        <v>2</v>
      </c>
      <c r="AI123">
        <v>0</v>
      </c>
      <c r="AJ123">
        <v>2</v>
      </c>
      <c r="AK123">
        <v>26.4</v>
      </c>
      <c r="AL123">
        <v>0</v>
      </c>
      <c r="AM123" t="s">
        <v>121</v>
      </c>
      <c r="AN123" t="b">
        <v>0</v>
      </c>
      <c r="AO123" t="s">
        <v>121</v>
      </c>
      <c r="AP123">
        <v>0</v>
      </c>
      <c r="AQ123">
        <v>1</v>
      </c>
      <c r="AR123">
        <v>1.50908467603702</v>
      </c>
      <c r="AS123">
        <v>1</v>
      </c>
      <c r="AT123">
        <v>6.8769667954089204</v>
      </c>
      <c r="AU123">
        <v>1.3661472140462401</v>
      </c>
      <c r="AV123">
        <v>2.3586369925776798</v>
      </c>
      <c r="AW123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28</v>
      </c>
      <c r="AX123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18</v>
      </c>
      <c r="AY123">
        <v>5</v>
      </c>
      <c r="AZ123">
        <v>5</v>
      </c>
      <c r="BA123">
        <v>2.3586369925776798</v>
      </c>
      <c r="BB123">
        <v>113</v>
      </c>
      <c r="BC123">
        <v>28</v>
      </c>
      <c r="BD123">
        <v>4.2955602149660104</v>
      </c>
      <c r="BE123">
        <v>8295.5165749371299</v>
      </c>
      <c r="BF123" t="s">
        <v>691</v>
      </c>
      <c r="BG123" t="s">
        <v>692</v>
      </c>
      <c r="BH123">
        <f>SUMPRODUCT(Results[[#This Row],[RegionLocation_Norm]:[PopEmp_Score_Norm]],[1]דירוג!$C$4:$G$4)</f>
        <v>3.9960465381639239</v>
      </c>
      <c r="BI123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17</v>
      </c>
      <c r="BJ123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13</v>
      </c>
      <c r="BK123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13</v>
      </c>
    </row>
    <row r="124" spans="1:63" x14ac:dyDescent="0.2">
      <c r="A124">
        <v>931</v>
      </c>
      <c r="B124">
        <v>34.6659199157939</v>
      </c>
      <c r="C124">
        <v>31.774495625484001</v>
      </c>
      <c r="D124" t="s">
        <v>693</v>
      </c>
      <c r="E124" t="s">
        <v>694</v>
      </c>
      <c r="F124" t="s">
        <v>695</v>
      </c>
      <c r="G124" t="s">
        <v>696</v>
      </c>
      <c r="H124" t="s">
        <v>697</v>
      </c>
      <c r="I124" t="s">
        <v>68</v>
      </c>
      <c r="J124" t="s">
        <v>69</v>
      </c>
      <c r="K124" t="s">
        <v>69</v>
      </c>
      <c r="L124" t="s">
        <v>70</v>
      </c>
      <c r="M124" t="s">
        <v>71</v>
      </c>
      <c r="N124">
        <v>30260.87</v>
      </c>
      <c r="O124">
        <v>26483.99</v>
      </c>
      <c r="P124">
        <v>0.87518931213808404</v>
      </c>
      <c r="Q124">
        <v>0</v>
      </c>
      <c r="R124">
        <v>0</v>
      </c>
      <c r="S124">
        <v>0</v>
      </c>
      <c r="T124">
        <v>0</v>
      </c>
      <c r="U124">
        <v>3.6666666666666599</v>
      </c>
      <c r="V124">
        <v>8.6666666666666607</v>
      </c>
      <c r="W124">
        <v>0</v>
      </c>
      <c r="X124">
        <v>3.6666666666666599</v>
      </c>
      <c r="Y124">
        <v>4753.6015218235498</v>
      </c>
      <c r="Z124">
        <v>4377.7511660765003</v>
      </c>
      <c r="AA124">
        <v>7963.5706089342402</v>
      </c>
      <c r="AB124">
        <v>4025.4657146832801</v>
      </c>
      <c r="AC124">
        <v>5857.7786872486204</v>
      </c>
      <c r="AD124">
        <v>2428.2196198428601</v>
      </c>
      <c r="AE124">
        <v>18574.9508180064</v>
      </c>
      <c r="AF124">
        <v>10831.4365006026</v>
      </c>
      <c r="AG124">
        <v>0</v>
      </c>
      <c r="AH124">
        <v>2</v>
      </c>
      <c r="AI124">
        <v>0</v>
      </c>
      <c r="AJ124">
        <v>3</v>
      </c>
      <c r="AK124">
        <v>109.2</v>
      </c>
      <c r="AL124">
        <v>2</v>
      </c>
      <c r="AM124" t="s">
        <v>104</v>
      </c>
      <c r="AN124" t="b">
        <v>0</v>
      </c>
      <c r="AO124" t="s">
        <v>104</v>
      </c>
      <c r="AP124">
        <v>2</v>
      </c>
      <c r="AQ124">
        <v>1</v>
      </c>
      <c r="AR124">
        <v>4.0637641412410002</v>
      </c>
      <c r="AS124">
        <v>7</v>
      </c>
      <c r="AT124">
        <v>4.9118820520419</v>
      </c>
      <c r="AU124">
        <v>1.56263509284624</v>
      </c>
      <c r="AV124">
        <v>4.0429857763967796</v>
      </c>
      <c r="AW124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16</v>
      </c>
      <c r="AX124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9</v>
      </c>
      <c r="AY124">
        <v>15.999999999999901</v>
      </c>
      <c r="AZ124">
        <v>16</v>
      </c>
      <c r="BA124">
        <v>4.0429857763967796</v>
      </c>
      <c r="BB124">
        <v>41</v>
      </c>
      <c r="BC124">
        <v>15</v>
      </c>
      <c r="BD124">
        <v>4.48088140983283</v>
      </c>
      <c r="BE124">
        <v>12380.139364083399</v>
      </c>
      <c r="BF124" t="s">
        <v>698</v>
      </c>
      <c r="BG124" t="s">
        <v>699</v>
      </c>
      <c r="BH124">
        <f>SUMPRODUCT(Results[[#This Row],[RegionLocation_Norm]:[PopEmp_Score_Norm]],[1]דירוג!$C$4:$G$4)</f>
        <v>4.1363659810579669</v>
      </c>
      <c r="BI124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25</v>
      </c>
      <c r="BJ124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21</v>
      </c>
      <c r="BK124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35</v>
      </c>
    </row>
    <row r="125" spans="1:63" x14ac:dyDescent="0.2">
      <c r="A125">
        <v>986</v>
      </c>
      <c r="B125">
        <v>34.7978323918108</v>
      </c>
      <c r="C125">
        <v>31.368962517855099</v>
      </c>
      <c r="D125" t="s">
        <v>700</v>
      </c>
      <c r="E125" t="s">
        <v>701</v>
      </c>
      <c r="F125" t="s">
        <v>702</v>
      </c>
      <c r="G125" t="s">
        <v>703</v>
      </c>
      <c r="H125" t="s">
        <v>704</v>
      </c>
      <c r="I125" t="s">
        <v>68</v>
      </c>
      <c r="J125" t="s">
        <v>705</v>
      </c>
      <c r="K125" t="s">
        <v>705</v>
      </c>
      <c r="L125" t="s">
        <v>70</v>
      </c>
      <c r="M125" t="s">
        <v>71</v>
      </c>
      <c r="N125">
        <v>18959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4</v>
      </c>
      <c r="V125">
        <v>4</v>
      </c>
      <c r="W125">
        <v>0</v>
      </c>
      <c r="X125">
        <v>0</v>
      </c>
      <c r="Y125">
        <v>3619.0122058137499</v>
      </c>
      <c r="Z125">
        <v>900.74935125523996</v>
      </c>
      <c r="AA125">
        <v>9658.5425960585599</v>
      </c>
      <c r="AB125">
        <v>2188.89590960854</v>
      </c>
      <c r="AC125">
        <v>7137.5020527838897</v>
      </c>
      <c r="AD125">
        <v>1596.69783142644</v>
      </c>
      <c r="AE125">
        <v>20415.056854656199</v>
      </c>
      <c r="AF125">
        <v>4686.3430922902298</v>
      </c>
      <c r="AG125">
        <v>1</v>
      </c>
      <c r="AH125">
        <v>2</v>
      </c>
      <c r="AI125">
        <v>2</v>
      </c>
      <c r="AJ125">
        <v>2</v>
      </c>
      <c r="AK125">
        <v>52.8</v>
      </c>
      <c r="AL125">
        <v>2</v>
      </c>
      <c r="AM125" t="s">
        <v>104</v>
      </c>
      <c r="AN125" t="b">
        <v>0</v>
      </c>
      <c r="AO125" t="s">
        <v>104</v>
      </c>
      <c r="AP125">
        <v>2</v>
      </c>
      <c r="AQ125">
        <v>7</v>
      </c>
      <c r="AR125">
        <v>2.3236201576962601</v>
      </c>
      <c r="AS125">
        <v>7</v>
      </c>
      <c r="AT125">
        <v>3.8810592892045901</v>
      </c>
      <c r="AU125">
        <v>1.3438542078512701</v>
      </c>
      <c r="AV125">
        <v>4.3746367345598696</v>
      </c>
      <c r="AW125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13</v>
      </c>
      <c r="AX125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2</v>
      </c>
      <c r="AY125">
        <v>8</v>
      </c>
      <c r="AZ125">
        <v>8</v>
      </c>
      <c r="BA125">
        <v>4.3746367345598696</v>
      </c>
      <c r="BB125">
        <v>36</v>
      </c>
      <c r="BC125">
        <v>12</v>
      </c>
      <c r="BD125">
        <v>4.2778154265708599</v>
      </c>
      <c r="BE125">
        <v>7832.08584476342</v>
      </c>
      <c r="BF125" t="s">
        <v>706</v>
      </c>
      <c r="BG125" t="s">
        <v>707</v>
      </c>
      <c r="BH125">
        <f>SUMPRODUCT(Results[[#This Row],[RegionLocation_Norm]:[PopEmp_Score_Norm]],[1]דירוג!$C$4:$G$4)</f>
        <v>3.4416431378668069</v>
      </c>
      <c r="BI125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41</v>
      </c>
      <c r="BJ125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2</v>
      </c>
      <c r="BK125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42</v>
      </c>
    </row>
    <row r="126" spans="1:63" x14ac:dyDescent="0.2">
      <c r="A126">
        <v>1005</v>
      </c>
      <c r="B126">
        <v>34.809136092109703</v>
      </c>
      <c r="C126">
        <v>31.260928579324901</v>
      </c>
      <c r="D126" t="s">
        <v>708</v>
      </c>
      <c r="E126" t="s">
        <v>709</v>
      </c>
      <c r="F126" t="s">
        <v>322</v>
      </c>
      <c r="G126" t="s">
        <v>323</v>
      </c>
      <c r="H126" t="s">
        <v>710</v>
      </c>
      <c r="I126" t="s">
        <v>68</v>
      </c>
      <c r="J126" t="s">
        <v>705</v>
      </c>
      <c r="K126" t="s">
        <v>705</v>
      </c>
      <c r="L126" t="s">
        <v>316</v>
      </c>
      <c r="M126" t="s">
        <v>317</v>
      </c>
      <c r="N126">
        <v>113284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4.6666666666666599</v>
      </c>
      <c r="U126">
        <v>4.6666666666666599</v>
      </c>
      <c r="V126">
        <v>4</v>
      </c>
      <c r="W126">
        <v>0</v>
      </c>
      <c r="X126">
        <v>4.6666666666666599</v>
      </c>
      <c r="Y126">
        <v>8047.30058441657</v>
      </c>
      <c r="Z126">
        <v>11661.936002587599</v>
      </c>
      <c r="AA126">
        <v>13351.813618148901</v>
      </c>
      <c r="AB126">
        <v>17894.124880884399</v>
      </c>
      <c r="AC126">
        <v>9315.9719791300304</v>
      </c>
      <c r="AD126">
        <v>8928.1986567400709</v>
      </c>
      <c r="AE126">
        <v>30715.0861816955</v>
      </c>
      <c r="AF126">
        <v>38484.259540212101</v>
      </c>
      <c r="AG126">
        <v>1</v>
      </c>
      <c r="AH126">
        <v>3</v>
      </c>
      <c r="AI126">
        <v>3</v>
      </c>
      <c r="AJ126">
        <v>4</v>
      </c>
      <c r="AK126">
        <v>153.4</v>
      </c>
      <c r="AL126">
        <v>2</v>
      </c>
      <c r="AM126" t="s">
        <v>159</v>
      </c>
      <c r="AN126" t="b">
        <v>0</v>
      </c>
      <c r="AO126" t="s">
        <v>159</v>
      </c>
      <c r="AP126">
        <v>2</v>
      </c>
      <c r="AQ126">
        <v>10</v>
      </c>
      <c r="AR126">
        <v>5.4274940006856296</v>
      </c>
      <c r="AS126">
        <v>7</v>
      </c>
      <c r="AT126">
        <v>3.3101333920125602</v>
      </c>
      <c r="AU126">
        <v>2.7436091439916099</v>
      </c>
      <c r="AV126">
        <v>5.5108696384621103</v>
      </c>
      <c r="AW126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7</v>
      </c>
      <c r="AX126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7</v>
      </c>
      <c r="AY126">
        <v>18</v>
      </c>
      <c r="AZ126">
        <v>18</v>
      </c>
      <c r="BA126">
        <v>5.5108696384621103</v>
      </c>
      <c r="BB126">
        <v>15</v>
      </c>
      <c r="BC126">
        <v>7</v>
      </c>
      <c r="BD126">
        <v>5.0541685753320698</v>
      </c>
      <c r="BE126">
        <v>36930.424868508802</v>
      </c>
      <c r="BF126" t="s">
        <v>711</v>
      </c>
      <c r="BG126" t="s">
        <v>712</v>
      </c>
      <c r="BH126">
        <f>SUMPRODUCT(Results[[#This Row],[RegionLocation_Norm]:[PopEmp_Score_Norm]],[1]דירוג!$C$4:$G$4)</f>
        <v>4.3544563065826436</v>
      </c>
      <c r="BI126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9</v>
      </c>
      <c r="BJ126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9</v>
      </c>
      <c r="BK126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12</v>
      </c>
    </row>
    <row r="127" spans="1:63" x14ac:dyDescent="0.2">
      <c r="A127">
        <v>1022</v>
      </c>
      <c r="B127">
        <v>34.796917400563203</v>
      </c>
      <c r="C127">
        <v>31.242187971676501</v>
      </c>
      <c r="D127" t="s">
        <v>713</v>
      </c>
      <c r="E127" t="s">
        <v>714</v>
      </c>
      <c r="F127" t="s">
        <v>428</v>
      </c>
      <c r="G127" t="s">
        <v>429</v>
      </c>
      <c r="H127" t="s">
        <v>715</v>
      </c>
      <c r="I127" t="s">
        <v>68</v>
      </c>
      <c r="J127" t="s">
        <v>705</v>
      </c>
      <c r="K127" t="s">
        <v>705</v>
      </c>
      <c r="L127" t="s">
        <v>316</v>
      </c>
      <c r="M127" t="s">
        <v>317</v>
      </c>
      <c r="N127">
        <v>28517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7</v>
      </c>
      <c r="V127">
        <v>4</v>
      </c>
      <c r="W127">
        <v>0</v>
      </c>
      <c r="X127">
        <v>7</v>
      </c>
      <c r="Y127">
        <v>9609.0036042910906</v>
      </c>
      <c r="Z127">
        <v>15203.742728212599</v>
      </c>
      <c r="AA127">
        <v>16056.292157510999</v>
      </c>
      <c r="AB127">
        <v>17973.769934002499</v>
      </c>
      <c r="AC127">
        <v>10894.827366187301</v>
      </c>
      <c r="AD127">
        <v>8584.2409562132398</v>
      </c>
      <c r="AE127">
        <v>36560.123127989398</v>
      </c>
      <c r="AF127">
        <v>41761.753618428404</v>
      </c>
      <c r="AG127">
        <v>1</v>
      </c>
      <c r="AH127">
        <v>3</v>
      </c>
      <c r="AI127">
        <v>3</v>
      </c>
      <c r="AJ127">
        <v>3</v>
      </c>
      <c r="AK127">
        <v>133.19999999999999</v>
      </c>
      <c r="AL127">
        <v>3</v>
      </c>
      <c r="AM127" t="s">
        <v>104</v>
      </c>
      <c r="AN127" t="b">
        <v>0</v>
      </c>
      <c r="AO127" t="s">
        <v>104</v>
      </c>
      <c r="AP127">
        <v>3</v>
      </c>
      <c r="AQ127">
        <v>10</v>
      </c>
      <c r="AR127">
        <v>4.8042509427493902</v>
      </c>
      <c r="AS127">
        <v>10</v>
      </c>
      <c r="AT127">
        <v>4.7810274902114704</v>
      </c>
      <c r="AU127">
        <v>2.9259726345843999</v>
      </c>
      <c r="AV127">
        <v>6.95648768432061</v>
      </c>
      <c r="AW127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</v>
      </c>
      <c r="AX127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1</v>
      </c>
      <c r="AY127">
        <v>18</v>
      </c>
      <c r="AZ127">
        <v>18</v>
      </c>
      <c r="BA127">
        <v>6.95648768432061</v>
      </c>
      <c r="BB127">
        <v>4</v>
      </c>
      <c r="BC127">
        <v>1</v>
      </c>
      <c r="BD127">
        <v>4.4551038356266899</v>
      </c>
      <c r="BE127">
        <v>40721.4275203406</v>
      </c>
      <c r="BF127" t="s">
        <v>716</v>
      </c>
      <c r="BG127" t="s">
        <v>717</v>
      </c>
      <c r="BH127">
        <f>SUMPRODUCT(Results[[#This Row],[RegionLocation_Norm]:[PopEmp_Score_Norm]],[1]דירוג!$C$4:$G$4)</f>
        <v>5.0939933420133992</v>
      </c>
      <c r="BI127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14</v>
      </c>
      <c r="BJ127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</v>
      </c>
      <c r="BK127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37</v>
      </c>
    </row>
    <row r="128" spans="1:63" x14ac:dyDescent="0.2">
      <c r="A128">
        <v>25</v>
      </c>
      <c r="B128">
        <v>34.868369390017158</v>
      </c>
      <c r="C128">
        <v>32.322458755947743</v>
      </c>
      <c r="D128" t="s">
        <v>718</v>
      </c>
      <c r="E128" t="s">
        <v>719</v>
      </c>
      <c r="F128" t="s">
        <v>428</v>
      </c>
      <c r="G128" t="s">
        <v>429</v>
      </c>
      <c r="H128" t="s">
        <v>720</v>
      </c>
      <c r="I128" t="s">
        <v>68</v>
      </c>
      <c r="J128" t="s">
        <v>69</v>
      </c>
      <c r="K128" t="s">
        <v>69</v>
      </c>
      <c r="L128" t="s">
        <v>70</v>
      </c>
      <c r="M128" t="s">
        <v>71</v>
      </c>
      <c r="N128">
        <v>44982.66</v>
      </c>
      <c r="O128">
        <v>35160.07</v>
      </c>
      <c r="P128">
        <v>0.78163607932478862</v>
      </c>
      <c r="Q128">
        <v>0</v>
      </c>
      <c r="R128">
        <v>0</v>
      </c>
      <c r="S128">
        <v>0</v>
      </c>
      <c r="T128">
        <v>0</v>
      </c>
      <c r="U128">
        <v>7</v>
      </c>
      <c r="V128">
        <v>2</v>
      </c>
      <c r="W128">
        <v>0</v>
      </c>
      <c r="X128">
        <v>7</v>
      </c>
      <c r="Y128">
        <v>5967.7597411592997</v>
      </c>
      <c r="Z128">
        <v>6674.11408107855</v>
      </c>
      <c r="AA128">
        <v>15583.5508852765</v>
      </c>
      <c r="AB128">
        <v>12608.1057608802</v>
      </c>
      <c r="AC128">
        <v>13167.808041612099</v>
      </c>
      <c r="AD128">
        <v>11339.485655665399</v>
      </c>
      <c r="AE128">
        <v>34719.1186680479</v>
      </c>
      <c r="AF128">
        <v>30621.7054976242</v>
      </c>
      <c r="AG128">
        <v>0</v>
      </c>
      <c r="AH128">
        <v>2</v>
      </c>
      <c r="AI128">
        <v>0</v>
      </c>
      <c r="AJ128">
        <v>3</v>
      </c>
      <c r="AK128">
        <v>121.2</v>
      </c>
      <c r="AL128">
        <v>2</v>
      </c>
      <c r="AM128" t="s">
        <v>104</v>
      </c>
      <c r="AN128" t="b">
        <v>0</v>
      </c>
      <c r="AO128" t="s">
        <v>104</v>
      </c>
      <c r="AP128">
        <v>2</v>
      </c>
      <c r="AQ128">
        <v>1</v>
      </c>
      <c r="AR128">
        <v>4.5807743658210898</v>
      </c>
      <c r="AS128">
        <v>7</v>
      </c>
      <c r="AT128">
        <v>5.7858358394801783</v>
      </c>
      <c r="AU128">
        <v>2.49113408264467</v>
      </c>
      <c r="AV128">
        <v>4.4494425053168296</v>
      </c>
      <c r="AW128">
        <f>IF(Results[[#This Row],[HubTypeHE]]="Regional",COUNTIFS(Results[HubTypeHE],Results[[#This Row],[HubTypeHE]],Results[TotalScore_MC],"&gt;"&amp;Results[[#This Row],[TotalScore_MC]]) + 1, COUNTIFS(Results[HubTypeHE],Results[[#This Row],[HubTypeHE]],Results[TotalScore_MC],"&gt;"&amp;Results[[#This Row],[TotalScore_MC]])+1)</f>
        <v>11</v>
      </c>
      <c r="AX128">
        <f>IF(Results[[#This Row],[HubTypeHE]]="מטרופוליני",COUNTIFS(Results[HubTypeHE],Results[[#This Row],[HubTypeHE]],Results[Metro],Results[[#This Row],[Metro]],Results[TotalScore_MC],"&gt;"&amp;Results[[#This Row],[TotalScore_MC]]) + 1, IF(Results[[#This Row],[HubTypeHE]]="עירוני",COUNTIFS(Results[HubTypeHE],Results[[#This Row],[HubTypeHE]],Results[Metro],Results[[#This Row],[Metro]],Results[TotalScore_MC],"&gt;"&amp;Results[[#This Row],[TotalScore_MC]]) + 1,COUNTIFS(Results[HubTypeHE],Results[[#This Row],[HubTypeHE]],Results[TotalScore_MC],"&gt;"&amp;Results[[#This Row],[TotalScore_MC]])+1))</f>
        <v>5</v>
      </c>
      <c r="AY128">
        <v>16</v>
      </c>
      <c r="AZ128">
        <v>16</v>
      </c>
      <c r="BA128">
        <v>4.4494425053168296</v>
      </c>
      <c r="BD128">
        <v>5.7858358394801783</v>
      </c>
      <c r="BE128">
        <v>31441.188131709001</v>
      </c>
      <c r="BF128" t="s">
        <v>721</v>
      </c>
      <c r="BG128" t="s">
        <v>722</v>
      </c>
      <c r="BH128">
        <f>SUMPRODUCT(Results[[#This Row],[RegionLocation_Norm]:[PopEmp_Score_Norm]],[1]דירוג!$C$4:$G$4)</f>
        <v>4.8232870218966495</v>
      </c>
      <c r="BI128">
        <f>IF(Results[[#This Row],[HubTypeHE]]="מטרופוליני",COUNTIFS(Results[HubTypeHE],Results[[#This Row],[HubTypeHE]],Results[TotalScore_Manual],"&gt;"&amp;Results[[#This Row],[TotalScore_Manual]]) + 1, IF(Results[[#This Row],[HubTypeHE]]="עירוני",COUNTIFS(Results[HubTypeHE],Results[[#This Row],[HubTypeHE]],Results[TotalScore_Manual],"&gt;"&amp;Results[[#This Row],[TotalScore_Manual]]) + 1, COUNTIFS(Results[HubTypeHE],Results[[#This Row],[HubTypeHE]],Results[TotalScore_Manual],"&gt;"&amp;Results[[#This Row],[TotalScore_Manual]])+1))</f>
        <v>17</v>
      </c>
      <c r="BJ128">
        <f>IF(Results[[#This Row],[HubTypeHE]]="מטרופוליני",COUNTIFS(Results[HubTypeHE],Results[[#This Row],[HubTypeHE]],Results[Metro],Results[[#This Row],[Metro]],Results[TotalScore_Manual],"&gt;"&amp;Results[[#This Row],[TotalScore_Manual]]) + 1, IF(Results[[#This Row],[HubTypeHE]]="עירוני",COUNTIFS(Results[HubTypeHE],Results[[#This Row],[HubTypeHE]],Results[Metro],Results[[#This Row],[Metro]],Results[TotalScore_Manual],"&gt;"&amp;Results[[#This Row],[TotalScore_Manual]]) + 1,COUNTIFS(Results[HubTypeHE],Results[[#This Row],[HubTypeHE]],Results[TotalScore_Manual],"&gt;"&amp;Results[[#This Row],[TotalScore_Manual]])+1))</f>
        <v>14</v>
      </c>
      <c r="BK128">
        <f>IF(Results[[#This Row],[HubTypeHE]]="מטרופוליני",COUNTIFS(Results[HubTypeHE],Results[[#This Row],[HubTypeHE]],Results[LogDemand],"&gt;"&amp;Results[[#This Row],[LogDemand]]) + 1, IF(Results[[#This Row],[HubTypeHE]]="עירוני",COUNTIFS(Results[HubTypeHE],Results[[#This Row],[HubTypeHE]],Results[LogDemand],"&gt;"&amp;Results[[#This Row],[LogDemand]]) + 1, COUNTIFS(Results[HubTypeHE],Results[[#This Row],[HubTypeHE]],Results[LogDemand],"&gt;"&amp;Results[[#This Row],[LogDemand]])+1))</f>
        <v>1</v>
      </c>
    </row>
  </sheetData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Ohad Dahan</dc:creator>
  <cp:lastModifiedBy>Ohad Dahan</cp:lastModifiedBy>
  <dcterms:created xsi:type="dcterms:W3CDTF">2026-06-07T08:35:59Z</dcterms:created>
  <dcterms:modified xsi:type="dcterms:W3CDTF">2026-06-07T08:36:14Z</dcterms:modified>
</cp:coreProperties>
</file>