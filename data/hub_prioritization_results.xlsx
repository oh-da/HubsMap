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had\Downloads\"/>
    </mc:Choice>
  </mc:AlternateContent>
  <xr:revisionPtr revIDLastSave="0" documentId="8_{00B3B8EF-EC7B-4A3E-82D3-AC44B8F518F0}" xr6:coauthVersionLast="47" xr6:coauthVersionMax="47" xr10:uidLastSave="{00000000-0000-0000-0000-000000000000}"/>
  <bookViews>
    <workbookView xWindow="28680" yWindow="-120" windowWidth="29040" windowHeight="15720" xr2:uid="{0CE4D32D-E78E-46DF-9845-BF52A73F8295}"/>
  </bookViews>
  <sheets>
    <sheet name="hubs_final_results_20260617_103" sheetId="1" r:id="rId1"/>
  </sheets>
  <calcPr calcId="0"/>
</workbook>
</file>

<file path=xl/calcChain.xml><?xml version="1.0" encoding="utf-8"?>
<calcChain xmlns="http://schemas.openxmlformats.org/spreadsheetml/2006/main">
  <c r="BR3" i="1" l="1" a="1"/>
  <c r="BR3" i="1" s="1"/>
  <c r="BR4" i="1" a="1"/>
  <c r="BR4" i="1" s="1"/>
  <c r="BR5" i="1" a="1"/>
  <c r="BR5" i="1" s="1"/>
  <c r="BR6" i="1" a="1"/>
  <c r="BR6" i="1" s="1"/>
  <c r="BR7" i="1" a="1"/>
  <c r="BR7" i="1" s="1"/>
  <c r="BR8" i="1" a="1"/>
  <c r="BR8" i="1" s="1"/>
  <c r="BR9" i="1" a="1"/>
  <c r="BR9" i="1" s="1"/>
  <c r="BR10" i="1" a="1"/>
  <c r="BR10" i="1" s="1"/>
  <c r="BR11" i="1" a="1"/>
  <c r="BR11" i="1" s="1"/>
  <c r="BR12" i="1" a="1"/>
  <c r="BR12" i="1" s="1"/>
  <c r="BR13" i="1" a="1"/>
  <c r="BR13" i="1" s="1"/>
  <c r="BR14" i="1" a="1"/>
  <c r="BR14" i="1" s="1"/>
  <c r="BR15" i="1" a="1"/>
  <c r="BR15" i="1" s="1"/>
  <c r="BR16" i="1" a="1"/>
  <c r="BR16" i="1" s="1"/>
  <c r="BR17" i="1" a="1"/>
  <c r="BR17" i="1" s="1"/>
  <c r="BR18" i="1" a="1"/>
  <c r="BR18" i="1" s="1"/>
  <c r="BR19" i="1" a="1"/>
  <c r="BR19" i="1" s="1"/>
  <c r="BR20" i="1" a="1"/>
  <c r="BR20" i="1" s="1"/>
  <c r="BR21" i="1" a="1"/>
  <c r="BR21" i="1" s="1"/>
  <c r="BR22" i="1" a="1"/>
  <c r="BR22" i="1" s="1"/>
  <c r="BR23" i="1" a="1"/>
  <c r="BR23" i="1" s="1"/>
  <c r="BR24" i="1" a="1"/>
  <c r="BR24" i="1" s="1"/>
  <c r="BR25" i="1" a="1"/>
  <c r="BR25" i="1" s="1"/>
  <c r="BR26" i="1" a="1"/>
  <c r="BR26" i="1" s="1"/>
  <c r="BR27" i="1" a="1"/>
  <c r="BR27" i="1" s="1"/>
  <c r="BR28" i="1" a="1"/>
  <c r="BR28" i="1" s="1"/>
  <c r="BR29" i="1" a="1"/>
  <c r="BR29" i="1" s="1"/>
  <c r="BR30" i="1" a="1"/>
  <c r="BR30" i="1" s="1"/>
  <c r="BR31" i="1" a="1"/>
  <c r="BR31" i="1" s="1"/>
  <c r="BR32" i="1" a="1"/>
  <c r="BR32" i="1" s="1"/>
  <c r="BR33" i="1" a="1"/>
  <c r="BR33" i="1" s="1"/>
  <c r="BR34" i="1" a="1"/>
  <c r="BR34" i="1" s="1"/>
  <c r="BR35" i="1" a="1"/>
  <c r="BR35" i="1" s="1"/>
  <c r="BR36" i="1" a="1"/>
  <c r="BR36" i="1" s="1"/>
  <c r="BR37" i="1" a="1"/>
  <c r="BR37" i="1" s="1"/>
  <c r="BR38" i="1" a="1"/>
  <c r="BR38" i="1" s="1"/>
  <c r="BR39" i="1" a="1"/>
  <c r="BR39" i="1" s="1"/>
  <c r="BR40" i="1" a="1"/>
  <c r="BR40" i="1" s="1"/>
  <c r="BR41" i="1" a="1"/>
  <c r="BR41" i="1" s="1"/>
  <c r="BR42" i="1" a="1"/>
  <c r="BR42" i="1" s="1"/>
  <c r="BR43" i="1" a="1"/>
  <c r="BR43" i="1" s="1"/>
  <c r="BR44" i="1" a="1"/>
  <c r="BR44" i="1" s="1"/>
  <c r="BR45" i="1" a="1"/>
  <c r="BR45" i="1" s="1"/>
  <c r="BR46" i="1" a="1"/>
  <c r="BR46" i="1" s="1"/>
  <c r="BR47" i="1" a="1"/>
  <c r="BR47" i="1" s="1"/>
  <c r="BR48" i="1" a="1"/>
  <c r="BR48" i="1" s="1"/>
  <c r="BR49" i="1" a="1"/>
  <c r="BR49" i="1" s="1"/>
  <c r="BR50" i="1" a="1"/>
  <c r="BR50" i="1" s="1"/>
  <c r="BR51" i="1" a="1"/>
  <c r="BR51" i="1" s="1"/>
  <c r="BR52" i="1" a="1"/>
  <c r="BR52" i="1" s="1"/>
  <c r="BR53" i="1" a="1"/>
  <c r="BR53" i="1" s="1"/>
  <c r="BR54" i="1" a="1"/>
  <c r="BR54" i="1" s="1"/>
  <c r="BR55" i="1" a="1"/>
  <c r="BR55" i="1" s="1"/>
  <c r="BR56" i="1" a="1"/>
  <c r="BR56" i="1" s="1"/>
  <c r="BR57" i="1" a="1"/>
  <c r="BR57" i="1" s="1"/>
  <c r="BR58" i="1" a="1"/>
  <c r="BR58" i="1" s="1"/>
  <c r="BR59" i="1" a="1"/>
  <c r="BR59" i="1" s="1"/>
  <c r="BR60" i="1" a="1"/>
  <c r="BR60" i="1" s="1"/>
  <c r="BR61" i="1" a="1"/>
  <c r="BR61" i="1" s="1"/>
  <c r="BR62" i="1" a="1"/>
  <c r="BR62" i="1" s="1"/>
  <c r="BR63" i="1" a="1"/>
  <c r="BR63" i="1" s="1"/>
  <c r="BR64" i="1" a="1"/>
  <c r="BR64" i="1" s="1"/>
  <c r="BR65" i="1" a="1"/>
  <c r="BR65" i="1" s="1"/>
  <c r="BR66" i="1" a="1"/>
  <c r="BR66" i="1" s="1"/>
  <c r="BR67" i="1" a="1"/>
  <c r="BR67" i="1" s="1"/>
  <c r="BR68" i="1" a="1"/>
  <c r="BR68" i="1" s="1"/>
  <c r="BR69" i="1" a="1"/>
  <c r="BR69" i="1" s="1"/>
  <c r="BR70" i="1" a="1"/>
  <c r="BR70" i="1" s="1"/>
  <c r="BR71" i="1" a="1"/>
  <c r="BR71" i="1" s="1"/>
  <c r="BR72" i="1" a="1"/>
  <c r="BR72" i="1" s="1"/>
  <c r="BR73" i="1" a="1"/>
  <c r="BR73" i="1" s="1"/>
  <c r="BR74" i="1" a="1"/>
  <c r="BR74" i="1" s="1"/>
  <c r="BR75" i="1" a="1"/>
  <c r="BR75" i="1" s="1"/>
  <c r="BR76" i="1" a="1"/>
  <c r="BR76" i="1" s="1"/>
  <c r="BR77" i="1" a="1"/>
  <c r="BR77" i="1" s="1"/>
  <c r="BR78" i="1" a="1"/>
  <c r="BR78" i="1" s="1"/>
  <c r="BR79" i="1" a="1"/>
  <c r="BR79" i="1" s="1"/>
  <c r="BR80" i="1" a="1"/>
  <c r="BR80" i="1" s="1"/>
  <c r="BR81" i="1" a="1"/>
  <c r="BR81" i="1" s="1"/>
  <c r="BR82" i="1" a="1"/>
  <c r="BR82" i="1" s="1"/>
  <c r="BR83" i="1" a="1"/>
  <c r="BR83" i="1" s="1"/>
  <c r="BR84" i="1" a="1"/>
  <c r="BR84" i="1" s="1"/>
  <c r="BR85" i="1" a="1"/>
  <c r="BR85" i="1" s="1"/>
  <c r="BR86" i="1" a="1"/>
  <c r="BR86" i="1" s="1"/>
  <c r="BR87" i="1" a="1"/>
  <c r="BR87" i="1" s="1"/>
  <c r="BR88" i="1" a="1"/>
  <c r="BR88" i="1" s="1"/>
  <c r="BR89" i="1" a="1"/>
  <c r="BR89" i="1" s="1"/>
  <c r="BR90" i="1" a="1"/>
  <c r="BR90" i="1" s="1"/>
  <c r="BR91" i="1" a="1"/>
  <c r="BR91" i="1" s="1"/>
  <c r="BR92" i="1" a="1"/>
  <c r="BR92" i="1" s="1"/>
  <c r="BR93" i="1" a="1"/>
  <c r="BR93" i="1" s="1"/>
  <c r="BR94" i="1" a="1"/>
  <c r="BR94" i="1" s="1"/>
  <c r="BR95" i="1" a="1"/>
  <c r="BR95" i="1" s="1"/>
  <c r="BR96" i="1" a="1"/>
  <c r="BR96" i="1" s="1"/>
  <c r="BR97" i="1" a="1"/>
  <c r="BR97" i="1" s="1"/>
  <c r="BR98" i="1" a="1"/>
  <c r="BR98" i="1" s="1"/>
  <c r="BR99" i="1" a="1"/>
  <c r="BR99" i="1" s="1"/>
  <c r="BR100" i="1" a="1"/>
  <c r="BR100" i="1" s="1"/>
  <c r="BR101" i="1" a="1"/>
  <c r="BR101" i="1" s="1"/>
  <c r="BR102" i="1" a="1"/>
  <c r="BR102" i="1" s="1"/>
  <c r="BR103" i="1" a="1"/>
  <c r="BR103" i="1" s="1"/>
  <c r="BR104" i="1" a="1"/>
  <c r="BR104" i="1" s="1"/>
  <c r="BR105" i="1" a="1"/>
  <c r="BR105" i="1" s="1"/>
  <c r="BR106" i="1" a="1"/>
  <c r="BR106" i="1" s="1"/>
  <c r="BR107" i="1" a="1"/>
  <c r="BR107" i="1" s="1"/>
  <c r="BR108" i="1" a="1"/>
  <c r="BR108" i="1" s="1"/>
  <c r="BR109" i="1" a="1"/>
  <c r="BR109" i="1" s="1"/>
  <c r="BR110" i="1" a="1"/>
  <c r="BR110" i="1" s="1"/>
  <c r="BR111" i="1" a="1"/>
  <c r="BR111" i="1" s="1"/>
  <c r="BR112" i="1" a="1"/>
  <c r="BR112" i="1" s="1"/>
  <c r="BR113" i="1" a="1"/>
  <c r="BR113" i="1" s="1"/>
  <c r="BR114" i="1" a="1"/>
  <c r="BR114" i="1" s="1"/>
  <c r="BR115" i="1" a="1"/>
  <c r="BR115" i="1" s="1"/>
  <c r="BR116" i="1" a="1"/>
  <c r="BR116" i="1" s="1"/>
  <c r="BR117" i="1" a="1"/>
  <c r="BR117" i="1" s="1"/>
  <c r="BR118" i="1" a="1"/>
  <c r="BR118" i="1" s="1"/>
  <c r="BR119" i="1" a="1"/>
  <c r="BR119" i="1" s="1"/>
  <c r="BR120" i="1" a="1"/>
  <c r="BR120" i="1" s="1"/>
  <c r="BR121" i="1" a="1"/>
  <c r="BR121" i="1" s="1"/>
  <c r="BR122" i="1" a="1"/>
  <c r="BR122" i="1" s="1"/>
  <c r="BR123" i="1" a="1"/>
  <c r="BR123" i="1" s="1"/>
  <c r="BR124" i="1" a="1"/>
  <c r="BR124" i="1" s="1"/>
  <c r="BR125" i="1" a="1"/>
  <c r="BR125" i="1" s="1"/>
  <c r="BR126" i="1" a="1"/>
  <c r="BR126" i="1" s="1"/>
  <c r="BR127" i="1" a="1"/>
  <c r="BR127" i="1" s="1"/>
  <c r="BR128" i="1" a="1"/>
  <c r="BR128" i="1" s="1"/>
  <c r="BR129" i="1" a="1"/>
  <c r="BR129" i="1" s="1"/>
  <c r="BR130" i="1" a="1"/>
  <c r="BR130" i="1" s="1"/>
  <c r="BR131" i="1" a="1"/>
  <c r="BR131" i="1" s="1"/>
  <c r="BR132" i="1" a="1"/>
  <c r="BR132" i="1" s="1"/>
  <c r="BR133" i="1" a="1"/>
  <c r="BR133" i="1" s="1"/>
  <c r="BR134" i="1" a="1"/>
  <c r="BR134" i="1" s="1"/>
  <c r="BR135" i="1" a="1"/>
  <c r="BR135" i="1" s="1"/>
  <c r="BR136" i="1" a="1"/>
  <c r="BR136" i="1" s="1"/>
  <c r="BR137" i="1" a="1"/>
  <c r="BR137" i="1" s="1"/>
  <c r="BR138" i="1" a="1"/>
  <c r="BR138" i="1" s="1"/>
  <c r="BR139" i="1" a="1"/>
  <c r="BR139" i="1" s="1"/>
  <c r="BR140" i="1" a="1"/>
  <c r="BR140" i="1" s="1"/>
  <c r="BR141" i="1" a="1"/>
  <c r="BR141" i="1" s="1"/>
  <c r="BR142" i="1" a="1"/>
  <c r="BR142" i="1" s="1"/>
  <c r="BR143" i="1" a="1"/>
  <c r="BR143" i="1" s="1"/>
  <c r="BR2" i="1" a="1"/>
  <c r="BR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<sst xmlns="http://schemas.openxmlformats.org/spreadsheetml/2006/main" count="2200" uniqueCount="908">
  <si>
    <t>group</t>
  </si>
  <si>
    <t>x</t>
  </si>
  <si>
    <t>y</t>
  </si>
  <si>
    <t>h3_index</t>
  </si>
  <si>
    <t>node</t>
  </si>
  <si>
    <t>Mode_Planned</t>
  </si>
  <si>
    <t>Modes_ForPlot</t>
  </si>
  <si>
    <t>Line_Unique</t>
  </si>
  <si>
    <t>Line_Names</t>
  </si>
  <si>
    <t>address</t>
  </si>
  <si>
    <t>area</t>
  </si>
  <si>
    <t>Metro</t>
  </si>
  <si>
    <t>location</t>
  </si>
  <si>
    <t>LocationForChart</t>
  </si>
  <si>
    <t>TotalDemand</t>
  </si>
  <si>
    <t>TotalTransfers</t>
  </si>
  <si>
    <t>TransferRate</t>
  </si>
  <si>
    <t>BRT Lines</t>
  </si>
  <si>
    <t>Cable Line Lines</t>
  </si>
  <si>
    <t>Funicular Lines</t>
  </si>
  <si>
    <t>HighSpeed Rail Lines</t>
  </si>
  <si>
    <t>Interurban Rail Lines</t>
  </si>
  <si>
    <t>LRT Lines</t>
  </si>
  <si>
    <t>Metro Lines</t>
  </si>
  <si>
    <t>Suburban Rail Lines</t>
  </si>
  <si>
    <t>pop_0_500</t>
  </si>
  <si>
    <t>emp_0_500</t>
  </si>
  <si>
    <t>pop_500_1000</t>
  </si>
  <si>
    <t>emp_500_1000</t>
  </si>
  <si>
    <t>pop_1000_1500</t>
  </si>
  <si>
    <t>emp_1000_1500</t>
  </si>
  <si>
    <t>TotalPop_2050</t>
  </si>
  <si>
    <t>TotalEmp_2050</t>
  </si>
  <si>
    <t>Region_category</t>
  </si>
  <si>
    <t>Location_category</t>
  </si>
  <si>
    <t>RegionLocation</t>
  </si>
  <si>
    <t>Num_Modes</t>
  </si>
  <si>
    <t>score</t>
  </si>
  <si>
    <t>bus_terminal</t>
  </si>
  <si>
    <t>HubType</t>
  </si>
  <si>
    <t>HubType_Filtered</t>
  </si>
  <si>
    <t>HubTypeHE</t>
  </si>
  <si>
    <t>BusTERMINAL_Clone</t>
  </si>
  <si>
    <t>RegionLocation_Norm</t>
  </si>
  <si>
    <t>score_Norm</t>
  </si>
  <si>
    <t>bus_terminal_Norm</t>
  </si>
  <si>
    <t>TotalDemand_Norm</t>
  </si>
  <si>
    <t>PopEmp_Score_Norm</t>
  </si>
  <si>
    <t>TotalScore_MC</t>
  </si>
  <si>
    <t>Rank_TS_MC</t>
  </si>
  <si>
    <t>Rank_By_TS_MC_By_Metro</t>
  </si>
  <si>
    <t>TotalNumLines</t>
  </si>
  <si>
    <t>NumLinesStatus_0</t>
  </si>
  <si>
    <t>NumLinesStatus_1</t>
  </si>
  <si>
    <t>NumLinesStatus_2</t>
  </si>
  <si>
    <t>NumLinesStatus_3</t>
  </si>
  <si>
    <t>NumLinesStatus_4</t>
  </si>
  <si>
    <t>NumLinesStatus_5</t>
  </si>
  <si>
    <t>NumLinesStatus_6</t>
  </si>
  <si>
    <t>NumLinesStatus_7</t>
  </si>
  <si>
    <t>TotalLinesAllStatuses</t>
  </si>
  <si>
    <t>Line_Nunique</t>
  </si>
  <si>
    <t>Average_Simulated_Score</t>
  </si>
  <si>
    <t>Overall_Rank</t>
  </si>
  <si>
    <t>Rank_within_HubType</t>
  </si>
  <si>
    <t>LogDemand</t>
  </si>
  <si>
    <t>PopEmp_Score</t>
  </si>
  <si>
    <t>HubNameHE</t>
  </si>
  <si>
    <t>8a2db04d60e7fff</t>
  </si>
  <si>
    <t>[51182, 50202, 51022, 51103]</t>
  </si>
  <si>
    <t>['LRT', 'HighSpeed Rail', 'Interurban Rail', 'Suburban Rail']</t>
  </si>
  <si>
    <t>רק"ל, רכבת מהירה, רכבת בינעירונית, רכבת פרברית</t>
  </si>
  <si>
    <t>["['LRT32', 'LRT42', 'LRT41', 'LRT31']", "['rail_8_1', 'rail_21_2', 'rail_21_1', 'rail_14_2', 'rail_14_1', 'rail_18_2', 'rail_13_2', 'rail_18_1', 'rail_8_2', 'rail_13_1']", "['LRT11', 'LRT41', 'LRT42', 'LRT52', 'LRT21', 'LRT51', 'LRT22', 'LRT12']"]</t>
  </si>
  <si>
    <t>['ירוק מקווקוו 1 כיוון 2 (רק"ל)', 'ירוק מקווקוו 2 כיוון 2 (רק"ל)', 'ירוק מקווקוו 2 כיוון 1 (רק"ל)', 'ירוק מקווקוו 1 כיוון 1 (רק"ל)', 'חיפה-ירושלים (רכבת מהירה)', 'באר שבע-ירושלים (רכבת בינעירונית)', 'ירושלים-באר שבע (רכבת בינעירונית)', 'ירושלים-נתניה (רכבת פרברית)', 'נתניה-ירושלים (רכבת פרברית)', 'ירושלים-מודיעין (רכבת פרברית)', 'ירושלים-חריש (רכבת פרברית)', 'מודיעין-ירושלים (רכבת פרברית)', 'ירושלים-חיפה (רכבת מהירה)', 'חריש-ירושלים (רכבת פרברית)', 'אדום כיוון 1 (רק"ל)', 'LRT52', 'אדום מקווקו כיוון 1 (רק"ל)', 'LRT51', 'אדום מקווקו כיוון 2 (רק"ל)', 'אדום כיוון 2 (רק"ל)']</t>
  </si>
  <si>
    <t>Not geocoded</t>
  </si>
  <si>
    <t>ירושלים</t>
  </si>
  <si>
    <t>['גלעין']</t>
  </si>
  <si>
    <t>גלעין</t>
  </si>
  <si>
    <t>ארצי</t>
  </si>
  <si>
    <t>תחנת רכבת ירושלים-יצחק נבון</t>
  </si>
  <si>
    <t>8a2db0a087b7fff</t>
  </si>
  <si>
    <t>[32001, 34000, 31508, 1017, 31609]</t>
  </si>
  <si>
    <t>['LRT', 'BRT', 'Cable Line', 'Suburban Rail', 'HighSpeed Rail', 'Interurban Rail']</t>
  </si>
  <si>
    <t>רק"ל, BRT, Cable Line, רכבת פרברית, רכבת מהירה, רכבת בינעירונית</t>
  </si>
  <si>
    <t>["['lrt02', 'lrt07', 'lrt08', 'lrt04', 'lrt03']", "['c001']", "['R321-1', 'R331-2', 'R322-2', 'R323-1', 'R323-2', 'R321-2', 'R322-1', 'R331-1', 'R329-2', 'R329-1']", "['rail_2_1', 'rail_8_1', 'rail_3_2', 'rail_4_2', 'rail_1_1', 'rail_3_1', 'rail_4_1', 'rail_1_2', 'rail_9_2', 'rail_8_2', 'rail_9_1', 'rail_5_2', 'rail_2_2', 'rail_5_1']", "['rail_10_2', 'rail_7_1', 'rail_7_2', 'rail_10_1']"]</t>
  </si>
  <si>
    <t>['מרכזית המפרץ-נצרת (רק"ל)', 'מרכזית הקריות-חוף הכרמל (דרך 22) (רק"ל)', 'חוף הכרמל-מרכזית הקריות (דרך 22) (רק"ל)', 'חוף הכרמל-נצרת (רק"ל)', 'נצרת-חוף הכרמל (רק"ל)', 'לב המפרץ-אוניברסיטת חיפה (רכבל)', 'מרכזית הקריות - בת גלים (BRT)', 'מרכז הכרמל-גילעם (דרך המנהרות) (BRT)', 'מרכזית חוף הכרמל-מרכזית הקריות (דרך המנהרות) (BRT)', 'מרכזית הקריות-הדר (דרך קרית ים) (BRT)', 'הדר-מרכזית הקריות (דרך קרית ים) (BRT)', 'בת גלים - מרכזית הקריות (BRT)', 'מרכזית הקריות-מרכזית חוף הכרמל (דרך המנהרות) (BRT)', 'גילעם-מרכז הכרמל (דרך המנהרות) (BRT)', 'מרכזית המפרץ-עכו (BRT)', 'עכו-מרכזית המפרץ (BRT)', 'נהריה-אילת (רכבת מהירה)', 'חיפה-ירושלים (רכבת מהירה)', 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'מודיעין-קרית שמונה (רכבת בינעירונית)', 'באר שבע-חיפה (רכבת מהירה)', 'ירושלים-חיפה (רכבת מהירה)', 'חיפה-באר שבע (רכבת מהירה)', 'אשקלון-כרמיאל (רכבת בינעירונית)', 'אילת-נהריה (רכבת מהירה)', 'כרמיאל-אשקלון (רכבת בינעירונית)', 'הרצליה-בית שאן (רכבת פרברית)', 'טבריה-עתלית (רכבת פרברית)', 'עתלית-טבריה (רכבת פרברית)', 'בית שאן-הרצליה (רכבת פרברית)']</t>
  </si>
  <si>
    <t>חיפה</t>
  </si>
  <si>
    <t>מרכזית המפרץ</t>
  </si>
  <si>
    <t>8a2db0ccec5ffff</t>
  </si>
  <si>
    <t>[400080, 513001, 521024, 511012]</t>
  </si>
  <si>
    <t>['LRT', 'Metro', 'Interurban Rail', 'Suburban Rail']</t>
  </si>
  <si>
    <t>רק"ל, מטרו, רכבת בינעירונית, רכבת פרברית</t>
  </si>
  <si>
    <t>["['rail_20_2',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"['Shut-S', 'Red2-N', 'Red-S', 'Shut-N', 'Red2-S', 'Red-N']", "['Me1-2S', 'Me1-2N', 'Me1-1N', 'Me1-1S']", "['Mgt1-E', 'Mgt2-E']"]</t>
  </si>
  <si>
    <t>['באר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'פ"ת-ת"א (רק"ל)', 'ראשל"צ-פ"ת (קרית אריה) (רק"ל)', 'פ"ת-ראשל"צ (רק"ל)', 'ת"א-פ"ת (רק"ל)', 'פ"ת (קרית אריה)-ראשל"צ (רק"ל)', 'ראשל"צ-פ"ת (רק"ל)',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'בר אילן-סבידור (רק"ל)', 'יהוד-סבידור (רק"ל)']</t>
  </si>
  <si>
    <t>תל אביב</t>
  </si>
  <si>
    <t>תחנת רכבת סבידור מרכז</t>
  </si>
  <si>
    <t>8a2db66ee05ffff</t>
  </si>
  <si>
    <t>[463642, 467211]</t>
  </si>
  <si>
    <t>['LRT', 'Interurban Rail', 'Suburban Rail']</t>
  </si>
  <si>
    <t>רק"ל, רכבת בינעירונית, רכבת פרברית</t>
  </si>
  <si>
    <t>["['rail_21_1', 'rail_3_2', 'rail_21_2', 'rail_4_2', 'rail_22_2', 'rail_17_2', 'rail_3_1', 'rail_4_1', 'rail_20_2', 'rail_20_1', 'rail_23_1', 'rail_23_2', 'rail_17_1', 'rail_22_1']", "['4.2_LRT_BRS-Shoket', '4.3_Ofakim-TelSheva', '4.3_TelSheva-Ofakim', '4.2_LRT_Shoket-BRS']"]</t>
  </si>
  <si>
    <t>['ירושלים-באר שבע (רכבת בינעירונית)', 'באר שבע-נהריה (רכבת בינעירונית)', 'באר שבע-ירושלים (רכבת בינעירונית)', 'באר שבע-עכו (רכבת בינעירונית)', 'ערד-באר שבע (רכבת פרברית)', 'באר שבע-ראש העין (רכבת פרברית)', 'נהריה-באר שבע (רכבת בינעירונית)', 'עכו-באר שבע (רכבת בינעירונית)', 'באר שבע-מודיעין (רכבת פרברית)', 'מודיעין-באר שבע (רכבת פרברית)', 'באר  שבע-ירוחם (רכבת פרברית)', 'ירוחם-באר שבע (רכבת פרברית)', 'ראש העין-באר שבע (רכבת פרברית)', 'באר שבע-ערד (רכבת פרברית)', 'צומת שוקת-מרכז רפואי באר שבע (רק"ל)', 'אופקים-תל שבע (רק"ל)', 'תל שבע-אופקים (רק"ל)', 'מרכז רפואי באר שבע-צומת שוקת (רק"ל)']</t>
  </si>
  <si>
    <t>באר שבע</t>
  </si>
  <si>
    <t>מטרופוליני</t>
  </si>
  <si>
    <t>תחנת רכבת באר שבע מרכז</t>
  </si>
  <si>
    <t>8a2db0a2b8e7fff</t>
  </si>
  <si>
    <t>[1024, 34085, 31605]</t>
  </si>
  <si>
    <t>['BRT', 'Interurban Rail', 'Suburban Rail', 'LRT']</t>
  </si>
  <si>
    <t>BRT, רכבת בינעירונית, רכבת פרברית, רק"ל</t>
  </si>
  <si>
    <t>["['rail_3_2', 'rail_4_2', 'rail_1_1', 'rail_3_1', 'rail_4_1', 'rail_7_2', 'lrt04', 'rail_1_2', 'rail_10_1', 'rail_10_2', 'rail_7_1', 'lrt07', 'rail_6_1', 'rail_6_2', 'lrt08', 'rail_5_2', 'rail_5_1', 'lrt03']", "['R321-1', 'R330-2', 'R321-2', 'R325-1', 'R330-1', 'R325-2']"]</t>
  </si>
  <si>
    <t>['באר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'עתלית-טבריה (רכבת פרברית)', 'חוף הכרמל-נצרת (רק"ל)', 'מודיעין-קרית שמונה (רכבת בינעירונית)', 'בית שאן-הרצליה (רכבת פרברית)', 'הרצליה-בית שאן (רכבת פרברית)', 'טבריה-עתלית (רכבת פרברית)', 'מרכזית הקריות-חוף הכרמל (דרך 22) (רק"ל)', 'כרמיאל-חיפה (רכבת פרברית)', 'חיפה-כרמיאל (רכבת פרברית)', 'חוף הכרמל-מרכזית הקריות (דרך 22) (רק"ל)', 'אשקלון-כרמיאל (רכבת בינעירונית)', 'כרמיאל-אשקלון (רכבת בינעירונית)', 'נצרת-חוף הכרמל (רק"ל)', 'מרכזית הקריות - בת גלים (BRT)', 'בת גלים-יגור/רכסים (BRT)', 'בת גלים - מרכזית הקריות (BRT)', 'הטכניון-בת גלים (דרך העצמאות) (BRT)', 'יגור/רכסים-בת גלים (BRT)', 'בת גלים-הטכניון (דרך העצמאות) (BRT)']</t>
  </si>
  <si>
    <t>תחנת רכבת בת גלים</t>
  </si>
  <si>
    <t>8a2db0a0514ffff</t>
  </si>
  <si>
    <t>[34089, 31603, 1030]</t>
  </si>
  <si>
    <t>['BRT', 'HighSpeed Rail', 'Interurban Rail', 'Suburban Rail', 'LRT']</t>
  </si>
  <si>
    <t>BRT, רכבת מהירה, רכבת בינעירונית, רכבת פרברית, רק"ל</t>
  </si>
  <si>
    <t>["['rail_8_1', 'rail_4_1', 'rail_7_2', 'R324-1', 'rail_1_2', 'rail_9_2', 'rail_9_1', 'rail_5_2', 'rail_2_2', 'rail_5_1', 'lrt04', 'rail_10_2', 'rail_7_1', 'R322-1', 'lrt08', 'rail_1_1', 'R324-2', 'rail_10_1', 'rail_6_2', 'rail_6_1', 'R322-2', 'rail_2_1', 'rail_3_2', 'rail_4_2', 'rail_3_1', 'rail_8_2']"]</t>
  </si>
  <si>
    <t>['חיפה-ירושלים (רכבת מהירה)', 'עכו-באר שבע (רכבת בינעירונית)', 'עתלית-טבריה (רכבת פרברית)', 'מרכזית המפרץ-מרכזית חוף הכרמל (דרך חורב) (BRT)', 'מודיעין-קרית שמונה (רכבת בינעירונית)', 'באר שבע-חיפה (רכבת מהירה)', 'חיפה-באר שבע (רכבת מהירה)', 'אשקלון-כרמיאל (רכבת בינעירונית)', 'אילת-נהריה (רכבת מהירה)', 'כרמיאל-אשקלון (רכבת בינעירונית)', 'חוף הכרמל-נצרת (רק"ל)', 'הרצליה-בית שאן (רכבת פרברית)', 'טבריה-עתלית (רכבת פרברית)', 'מרכזית הקריות-מרכזית חוף הכרמל (דרך המנהרות) (BRT)', 'חוף הכרמל-מרכזית הקריות (דרך 22) (רק"ל)', 'קרית שמונה-מודיעין (רכבת בינעירונית)', 'מרכזית חוף הכרמל-מרכזית המפרץ (דרך חורב) (BRT)', 'בית שאן-הרצליה (רכבת פרברית)', 'חיפה-כרמיאל (רכבת פרברית)', 'כרמיאל-חיפה (רכבת פרברית)', 'מרכזית חוף הכרמל-מרכזית הקריות (דרך המנהרות) (BRT)', 'נהריה-אילת (רכבת מהירה)', 'באר שבע-נהריה (רכבת בינעירונית)', 'באר שבע-עכו (רכבת בינעירונית)', 'נהריה-באר שבע (רכבת בינעירונית)', 'ירושלים-חיפה (רכבת מהירה)']</t>
  </si>
  <si>
    <t>מרכזית חוף הכרמל</t>
  </si>
  <si>
    <t>8a2db2b2190ffff</t>
  </si>
  <si>
    <t>[51152, 51232, 50111]</t>
  </si>
  <si>
    <t>['Suburban Rail', 'LRT']</t>
  </si>
  <si>
    <t>רכבת פרברית, רק"ל</t>
  </si>
  <si>
    <t>["['rail_14_2', 'rail_14_1', 'rail_18_2', 'rail_13_2', 'rail_18_1', 'rail_13_1']", "['LRT61', 'LRT71', 'LRT72', 'LRT62']"]</t>
  </si>
  <si>
    <t>['ירושלים-נתניה (רכבת פרברית)', 'נתניה-ירושלים (רכבת פרברית)', 'ירושלים-מודיעין (רכבת פרברית)', 'ירושלים-חריש (רכבת פרברית)', 'מודיעין-ירושלים (רכבת פרברית)', 'חריש-ירושלים (רכבת פרברית)', 'כחול כיוון 1 (רק"ל)', 'תכלת כיוון 1 (רק"ל)', 'תכלת כיוון 2 (רק"ל)', 'כחול כיוון 2 (רק"ל)']</t>
  </si>
  <si>
    <t>תחנת רכבת ירושלים-החאן</t>
  </si>
  <si>
    <t>8a2db011b2b7fff</t>
  </si>
  <si>
    <t>[511163]</t>
  </si>
  <si>
    <t>['BRT', 'LRT']</t>
  </si>
  <si>
    <t>BRT, רק"ל</t>
  </si>
  <si>
    <t>["['LRT-L1', 'LRT141']"]</t>
  </si>
  <si>
    <t>['נתניה-אשדוד (רק"ל)', 'נתניה-כפ"ס דרך טייבה/קלאנסווה (BRT)']</t>
  </si>
  <si>
    <t>['טבעת חיצונית']</t>
  </si>
  <si>
    <t>טבעת</t>
  </si>
  <si>
    <t>Not Hub</t>
  </si>
  <si>
    <t>צומת השרון</t>
  </si>
  <si>
    <t>8a2db0a552a7fff</t>
  </si>
  <si>
    <t>[34051, 1006]</t>
  </si>
  <si>
    <t>['LRT', 'BRT']</t>
  </si>
  <si>
    <t>רק"ל, BRT</t>
  </si>
  <si>
    <t>["['R321-1', 'R322-2', 'R1003-1', 'R323-1', 'R323-2', 'R321-2', 'R1002-2', 'R322-1', 'R1001-1', 'R1003-2', 'R1001-2', 'R1002-1']", "['lrt07']"]</t>
  </si>
  <si>
    <t>['מרכזית הקריות - בת גלים (BRT)', 'מרכזית חוף הכרמל-מרכזית הקריות (דרך המנהרות) (BRT)', 'גילעם-מרכזית הקריות (דרך גבעת טל ואח"י אילת) (BRT)', 'מרכזית הקריות-הדר (דרך קרית ים) (BRT)', 'הדר-מרכזית הקריות (דרך קרית ים) (BRT)', 'בת גלים - מרכזית הקריות (BRT)', 'מרכזית הקריות-גילעם (דרך בן גוריון) (BRT)', 'מרכזית הקריות-מרכזית חוף הכרמל (דרך המנהרות) (BRT)', 'גילעם-מרכזית הקריות (דרך הקריון) (BRT)', 'מרכזית הקריות-גילעם (דרך גבעת טל ואח"י אילת) (BRT)', 'מרכזית הקריות-גילעם (דרך הקריון) (BRT)', 'גילעם-מרכזית הקריות (דרך בן גוריון) (BRT)', 'מרכזית הקריות-חוף הכרמל (דרך 22) (רק"ל)']</t>
  </si>
  <si>
    <t>['טבעת פנימית']</t>
  </si>
  <si>
    <t>עירוני</t>
  </si>
  <si>
    <t>מרכזית הקריות</t>
  </si>
  <si>
    <t>8a2db0ccda17fff</t>
  </si>
  <si>
    <t>[400018, 523019, 521063]</t>
  </si>
  <si>
    <t>['Metro', 'HighSpeed Rail', 'Interurban Rail', 'Suburban Rail']</t>
  </si>
  <si>
    <t>מטרו, רכבת מהירה, רכבת בינעירונית, רכבת פרברית</t>
  </si>
  <si>
    <t>["['Me03-L', 'Me1-2S', 'Me03-R', 'Me1-2N', 'Me1-1S', 'Me1-1N']", "['rail_8_1', 'rail_20_2', 'rail_4_1', 'rail_1_2', 'rail_9_2', 'rail_9_1', 'rail_5_2', 'rail_2_2', 'rail_5_1', 'rail_20_1', 'rail_10_2', 'rail_12_2', 'rail_11_2', 'rail_17_2', 'rail_1_1', 'rail_10_1', 'rail_11_1', 'rail_16_1', 'rail_12_1', 'rail_17_1', 'rail_2_1', 'rail_3_2', 'rail_14_2', 'rail_4_2', 'rail_3_1', 'rail_14_1', 'rail_16_2', 'rail_8_2']"]</t>
  </si>
  <si>
    <t>['הרצליה-בת ים (מטרו)', 'כפר סבא-צומת בילו (דרך הוד השרון) (מטרו)', 'בת ים-הרצליה (מטרו)', 'צומת בילו-כפר סבא (דרך הוד השרון) (מטרו)', 'כפר סבא-צומת בילו (דרך רעננה) (מטרו)', 'צומת בילו-כפר סבא (דרך רעננה) (מטרו)', 'חיפה-ירושלים (רכבת מהירה)', 'באר שבע-מודיעין (רכבת פרברית)', 'עכו-באר שבע (רכבת בינעירונית)', 'מודיעין-קרית שמונה (רכבת בינעירונית)', 'באר שבע-חיפה (רכבת מהירה)', 'חיפה-באר שבע (רכבת מהירה)', 'אשקלון-כרמיאל (רכבת בינעירונית)', 'אילת-נהריה (רכבת מהירה)',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'נהריה-אילת (רכבת מהירה)',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'ירושלים-חיפה (רכבת מהירה)']</t>
  </si>
  <si>
    <t>גלילות דרום</t>
  </si>
  <si>
    <t>8a2db01ad347fff</t>
  </si>
  <si>
    <t>[511240, 511241]</t>
  </si>
  <si>
    <t>["['LRT141', 'LRT142']"]</t>
  </si>
  <si>
    <t>['נתניה-כפ"ס דרך טייבה/קלאנסווה (BRT)', 'כפ"ס-נתניה דרך טייבה/קלאנסווה (רק"ל)']</t>
  </si>
  <si>
    <t>רייך/לנטוס, נתניה</t>
  </si>
  <si>
    <t>8a2db0cc331ffff</t>
  </si>
  <si>
    <t>[400090, 522006, 521023]</t>
  </si>
  <si>
    <t>['HighSpeed Rail', 'Suburban Rail', 'Metro']</t>
  </si>
  <si>
    <t>רכבת מהירה, רכבת פרברית, מטרו</t>
  </si>
  <si>
    <t>["['rail_8_1', 'rail_20_2', 'rail_9_2', 'rail_9_1', 'rail_2_2', 'rail_20_1', 'rail_10_2', 'rail_12_2', 'rail_11_2', 'rail_17_2', 'rail_10_1', 'rail_11_1', 'rail_16_1', 'rail_12_1', 'rail_17_1', 'rail_2_1', 'rail_14_2', 'rail_14_1', 'rail_16_2', 'rail_8_2']", "['Me1-2S', 'Me1-2N', 'Me1-1N', 'Me1-1S']", "['Me02-E', 'Me02-W']"]</t>
  </si>
  <si>
    <t>['חיפה-ירושלים (רכבת מהירה)', 'באר שבע-מודיעין (רכבת פרברית)', 'באר שבע-חיפה (רכבת מהירה)', 'חיפה-באר שבע (רכבת מהירה)', 'אילת-נהריה (רכבת מהירה)',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'נהריה-אילת (רכבת מהירה)', 'ירושלים-נתניה (רכבת פרברית)', 'נתניה-ירושלים (רכבת פרברית)', 'בית שמש-הרצליה (רכבת פרברית)', 'ירושלים-חיפה (רכבת מהירה)',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'וולפסון-סגולה (מטרו)', 'סגולה-וולפסון (מטרו)']</t>
  </si>
  <si>
    <t>תחנת רכבת השלום</t>
  </si>
  <si>
    <t>8a2db0a0c32ffff</t>
  </si>
  <si>
    <t>[31616, 34082, 1021]</t>
  </si>
  <si>
    <t>['LRT', 'BRT', 'Interurban Rail', 'Suburban Rail']</t>
  </si>
  <si>
    <t>רק"ל, BRT, רכבת בינעירונית, רכבת פרברית</t>
  </si>
  <si>
    <t>["['rail_3_2', 'rail_4_2', 'rail_1_1', 'rail_3_1', 'rail_4_1', 'rail_7_2', 'rail_1_2', 'rail_10_1', 'rail_10_2', 'rail_7_1', 'rail_6_1', 'rail_6_2', 'rail_5_2', 'rail_5_1']", "['lrt07', 'lrt04', 'lrt08', 'lrt03']", "['R321-1', 'R328-2', 'R330-2', 'R321-2', 'R325-1', 'R327-1', 'R330-1', 'R325-2', 'R327-2', 'R328-1']"]</t>
  </si>
  <si>
    <t>['באר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'עתלית-טבריה (רכבת פרברית)', 'מודיעין-קרית שמונה (רכבת בינעירונית)', 'בית שאן-הרצליה (רכבת פרברית)', 'הרצליה-בית שאן (רכבת פרברית)', 'טבריה-עתלית (רכבת פרברית)', 'כרמיאל-חיפה (רכבת פרברית)', 'חיפה-כרמיאל (רכבת פרברית)', 'אשקלון-כרמיאל (רכבת בינעירונית)', 'כרמיאל-אשקלון (רכבת בינעירונית)', 'מרכזית הקריות-חוף הכרמל (דרך 22) (רק"ל)', 'חוף הכרמל-נצרת (רק"ל)', 'חוף הכרמל-מרכזית הקריות (דרך 22) (רק"ל)', 'נצרת-חוף הכרמל (רק"ל)', 'מרכזית הקריות - בת גלים (BRT)', 'נאות כרמל-מרכזית המפרץ (דרך ההגנה) (BRT)', 'בת גלים-יגור/רכסים (BRT)', 'בת גלים - מרכזית הקריות (BRT)', 'הטכניון-בת גלים (דרך העצמאות) (BRT)', 'מרכזית המפרץ-טירת כרמל (דרך ההגנה) (BRT)', 'יגור/רכסים-בת גלים (BRT)', 'בת גלים-הטכניון (דרך העצמאות) (BRT)', 'טירת כרמל-מרכזית המפרץ (דרך ההגנה) (BRT)', 'מרכזית המפרץ-נאות כרמל (דרך ההגנה) (BRT)']</t>
  </si>
  <si>
    <t>חיפה מזרח</t>
  </si>
  <si>
    <t>8a2db011ac2ffff</t>
  </si>
  <si>
    <t>[511239]</t>
  </si>
  <si>
    <t>ליבר/לנטוס, נתניה</t>
  </si>
  <si>
    <t>8a2db66e8157fff</t>
  </si>
  <si>
    <t>[463640, 467197]</t>
  </si>
  <si>
    <t>["['4.2_LRT_BRS-Shoket', '4.1_Arad-BS', '4.1_BS-Arad', '4.2_LRT_Shoket-BRS']", "['rail_2_1', 'rail_3_2', 'rail_21_1', 'rail_4_2', 'rail_21_2', 'rail_17_2', 'rail_3_1', 'rail_4_1', 'rail_20_2', 'rail_20_1', 'rail_9_2', 'rail_9_1', 'rail_2_2', 'rail_17_1']"]</t>
  </si>
  <si>
    <t>['צומת שוקת-מרכז רפואי באר שבע (רק"ל)', 'ערד-באר שבע מערב (רק"ל)', 'באר שבע מערב-ערד (רק"ל)', 'מרכז רפואי באר שבע-צומת שוקת (רק"ל)', 'נהריה-אילת (רכבת מהירה)', 'באר שבע-נהריה (רכבת בינעירונית)', 'ירושלים-באר שבע (רכבת בינעירונית)', 'באר שבע-עכו (רכבת בינעירונית)', 'באר שבע-ירושלים (רכבת בינעירונית)', 'באר שבע-ראש העין (רכבת פרברית)', 'נהריה-באר שבע (רכבת בינעירונית)', 'עכו-באר שבע (רכבת בינעירונית)', 'באר שבע-מודיעין (רכבת פרברית)', 'מודיעין-באר שבע (רכבת פרברית)', 'באר שבע-חיפה (רכבת מהירה)', 'חיפה-באר שבע (רכבת מהירה)', 'אילת-נהריה (רכבת מהירה)', 'ראש העין-באר שבע (רכבת פרברית)']</t>
  </si>
  <si>
    <t>תחנת רכבת באר שבע צפון-האוניברסיטה</t>
  </si>
  <si>
    <t>8a2db011a8a7fff</t>
  </si>
  <si>
    <t>[511238]</t>
  </si>
  <si>
    <t>קלאוזנר/לנטוס, נתניה</t>
  </si>
  <si>
    <t>8a2db0a0cb6ffff</t>
  </si>
  <si>
    <t>[31501, 1022]</t>
  </si>
  <si>
    <t>['BRT', 'Funicular']</t>
  </si>
  <si>
    <t>BRT, פוניקולר</t>
  </si>
  <si>
    <t>["['s0110a']", "['R321-1', 'R328-2', 'R330-2', 'R321-2', 'R325-1', 'R327-1', 'R330-1', 'R325-2', 'R327-2', 'R328-1']"]</t>
  </si>
  <si>
    <t>['s0110a', 'מרכזית הקריות - בת גלים (BRT)', 'נאות כרמל-מרכזית המפרץ (דרך ההגנה) (BRT)', 'בת גלים-יגור/רכסים (BRT)', 'בת גלים - מרכזית הקריות (BRT)', 'הטכניון-בת גלים (דרך העצמאות) (BRT)', 'מרכזית המפרץ-טירת כרמל (דרך ההגנה) (BRT)', 'יגור/רכסים-בת גלים (BRT)', 'בת גלים-הטכניון (דרך העצמאות) (BRT)', 'טירת כרמל-מרכזית המפרץ (דרך ההגנה) (BRT)', 'מרכזית המפרץ-נאות כרמל (דרך ההגנה) (BRT)']</t>
  </si>
  <si>
    <t>קרית הממשלה, חיפה</t>
  </si>
  <si>
    <t>8a2db04d2d5ffff</t>
  </si>
  <si>
    <t>[51106, 51018, 50011]</t>
  </si>
  <si>
    <t>['LRT', 'HighSpeed Rail', 'Interurban Rail', 'Suburban Rail', 'LRT']</t>
  </si>
  <si>
    <t>רק"ל, רכבת מהירה, רכבת בינעירונית, רכבת פרברית, רק"ל</t>
  </si>
  <si>
    <t>["['rail_8_1', 'rail_21_2', 'rail_21_1', 'rail_14_2', 'LRT62', 'rail_14_1', 'LRT72', 'rail_18_2', 'rail_13_2', 'rail_18_1', 'LRT61', 'rail_8_2', 'LRT71', 'rail_13_1']", "['LRT11', 'LRT32', 'LRT12', 'LRT31']"]</t>
  </si>
  <si>
    <t>['חיפה-ירושלים (רכבת מהירה)', 'באר שבע-ירושלים (רכבת בינעירונית)', 'ירושלים-באר שבע (רכבת בינעירונית)', 'ירושלים-נתניה (רכבת פרברית)', 'כחול כיוון 2 (רק"ל)', 'נתניה-ירושלים (רכבת פרברית)', 'תכלת כיוון 2 (רק"ל)', 'ירושלים-מודיעין (רכבת פרברית)', 'ירושלים-חריש (רכבת פרברית)', 'מודיעין-ירושלים (רכבת פרברית)', 'כחול כיוון 1 (רק"ל)', 'ירושלים-חיפה (רכבת מהירה)', 'תכלת כיוון 1 (רק"ל)', 'חריש-ירושלים (רכבת פרברית)', 'אדום כיוון 1 (רק"ל)', 'ירוק מקווקוו 1 כיוון 2 (רק"ל)', 'אדום כיוון 2 (רק"ל)', 'ירוק מקווקוו 1 כיוון 1 (רק"ל)']</t>
  </si>
  <si>
    <t>תחנת רכבת ירושלים-מרכז</t>
  </si>
  <si>
    <t>8a2db0cd1b07fff</t>
  </si>
  <si>
    <t>[512026, 521060, 400421]</t>
  </si>
  <si>
    <t>['LRT', 'Suburban Rail', 'Metro']</t>
  </si>
  <si>
    <t>רק"ל, רכבת פרברית, מטרו</t>
  </si>
  <si>
    <t>["['rail_20_2', 'rail_11_2', 'rail_11_1', 'rail_20_1']", "['Me1-2S', 'Me1-2N', 'Me1-1N', 'Me1-1S']", "['Grn1-S', 'Grn2-S', 'Grn2-N', 'Grn3-N', 'Grn3-S', 'Grn1-N']"]</t>
  </si>
  <si>
    <t>['באר שבע-מודיעין (רכבת פרברית)', 'שוקת-זיכרון יעקב (רכבת פרברית)', 'זיכרון יעקב-שוקת (רכבת פרברית)', 'מודיעין-באר שבע (רכבת פרברית)',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'עתידים-ראשל"צ (רק"ל)', 'הרצליה-חולון (רק"ל)', 'חולון-הרצליה (רק"ל)', 'חולון-אונ\' ת"א (רק"ל)', 'אונ\' ת"א-חולון (רק"ל)', 'ראשל"צ-עתידים (רק"ל)']</t>
  </si>
  <si>
    <t>תחנת רכבת צומת חולון</t>
  </si>
  <si>
    <t>8a2db0cc31affff</t>
  </si>
  <si>
    <t>[512020, 522005, 511015]</t>
  </si>
  <si>
    <t>['LRT', 'Metro']</t>
  </si>
  <si>
    <t>רק"ל, מטרו</t>
  </si>
  <si>
    <t>["['Shut-S', 'Red2-N', 'Red-S', 'Shut-N', 'Red2-S', 'Red-N']", "['Grn1-S', 'Grn2-S', 'Grn2-N', 'Grn3-N', 'Grn3-S', 'Grn1-N']", "['Me02-E', 'Me02-W']"]</t>
  </si>
  <si>
    <t>['פ"ת-ת"א (רק"ל)', 'ראשל"צ-פ"ת (קרית אריה) (רק"ל)', 'פ"ת-ראשל"צ (רק"ל)', 'ת"א-פ"ת (רק"ל)', 'פ"ת (קרית אריה)-ראשל"צ (רק"ל)', 'ראשל"צ-פ"ת (רק"ל)', 'עתידים-ראשל"צ (רק"ל)', 'הרצליה-חולון (רק"ל)', 'חולון-הרצליה (רק"ל)', 'חולון-אונ\' ת"א (רק"ל)', 'אונ\' ת"א-חולון (רק"ל)', 'ראשל"צ-עתידים (רק"ל)', 'וולפסון-סגולה (מטרו)', 'סגולה-וולפסון (מטרו)']</t>
  </si>
  <si>
    <t>השוק הסיטונאי, תל אביב</t>
  </si>
  <si>
    <t>8a2db0118497fff</t>
  </si>
  <si>
    <t>[511204, 511237]</t>
  </si>
  <si>
    <t>כיכר האחדות, נתניה</t>
  </si>
  <si>
    <t>8a2db0521057fff</t>
  </si>
  <si>
    <t>[511273, 150274, 516022, 515022]</t>
  </si>
  <si>
    <t>['BRT', 'LRT', 'BRT', 'LRT']</t>
  </si>
  <si>
    <t>BRT, רק"ל, BRT, רק"ל</t>
  </si>
  <si>
    <t>["['ART1-2', 'ART2-1', 'BRT1-1', 'ART2-2', 'BRT1-2', 'ART1-1']", "['BRT1-2']", "['LRT-L1', 'LRT-L2']"]</t>
  </si>
  <si>
    <t>['אסף הרופא-מתחם ה-1000 (רק"ל)', 'חוף ראשל"צ-אסף הרופא (רק"ל)', 'תחנה מרכזית ראשל"צ-לוד (BRT)', 'אסף הרופא-חוף ראשל"צ (רק"ל)', 'לוד-תחנה מרכזית ראשל"צ (BRT)', 'מתחם ה-1000-אסף הרופא (רק"ל)', 'נתניה-אשדוד (רק"ל)', 'אשדוד-נתניה (רק"ל)']</t>
  </si>
  <si>
    <t>['טבעת תיכונה']</t>
  </si>
  <si>
    <t>תחנה מרכזית חדשה, ראשון לציון</t>
  </si>
  <si>
    <t>8a2db0a6ad97fff</t>
  </si>
  <si>
    <t>[31622]</t>
  </si>
  <si>
    <t>['HighSpeed Rail', 'Interurban Rail']</t>
  </si>
  <si>
    <t>רכבת מהירה, רכבת בינעירונית</t>
  </si>
  <si>
    <t>["['rail_2_1', 'rail_3_2', 'rail_4_2', 'rail_3_1', 'rail_4_1', 'rail_2_2']"]</t>
  </si>
  <si>
    <t>['נהריה-אילת (רכבת מהירה)', 'באר שבע-נהריה (רכבת בינעירונית)', 'באר שבע-עכו (רכבת בינעירונית)', 'נהריה-באר שבע (רכבת בינעירונית)', 'עכו-באר שבע (רכבת בינעירונית)', 'אילת-נהריה (רכבת מהירה)']</t>
  </si>
  <si>
    <t>תחנת רכבת עכו</t>
  </si>
  <si>
    <t>8a2db0ccc6c7fff</t>
  </si>
  <si>
    <t>[400070, 512006]</t>
  </si>
  <si>
    <t>["['rail_20_2',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"['Grn1-S', 'Grn1-N', 'Grn3-S', 'Grn3-N']"]</t>
  </si>
  <si>
    <t>['באר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'עתידים-ראשל"צ (רק"ל)', 'ראשל"צ-עתידים (רק"ל)', 'אונ\' ת"א-חולון (רק"ל)', 'חולון-אונ\' ת"א (רק"ל)']</t>
  </si>
  <si>
    <t>תחנת רכבת ת"א האוניברסיטה</t>
  </si>
  <si>
    <t>8a2db0cdc977fff</t>
  </si>
  <si>
    <t>[521021, 400110, 513014]</t>
  </si>
  <si>
    <t>["['rail_20_2',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"['Mgt2-E', 'Mgt1-W', 'Mgt1-E', 'Mgt2-W', 'Mgt3-W', 'Mgt3-E']", "['Me1-2S', 'Me1-2N', 'Me1-1N', 'Me1-1S']"]</t>
  </si>
  <si>
    <t>['באר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'יהוד-סבידור (רק"ל)', 'סבידור-בר אילן (רק"ל)', 'בר אילן-סבידור (רק"ל)', 'סבידור-יהוד (רק"ל)', 'אלנבי-יהוד (רק"ל)', 'יהוד-אלנבי (רק"ל)',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</si>
  <si>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תחנת רכבת תל אביב ההגנה</t>
  </si>
  <si>
    <t>8a2db0cc8497fff</t>
  </si>
  <si>
    <t>[511009, 525244]</t>
  </si>
  <si>
    <t>["['Yelw-S', 'Yelw-N']", "['Shut-S', 'Red2-N', 'Red-S', 'Shut-N', 'Red2-S', 'Red-N']"]</t>
  </si>
  <si>
    <t>['צומת חולון-רצועת הנופש (BRT)', 'רצועת הנופש-צומת חולון (BRT)', 'פ"ת-ת"א (רק"ל)', 'ראשל"צ-פ"ת (קרית אריה) (רק"ל)', 'פ"ת-ראשל"צ (רק"ל)', 'ת"א-פ"ת (רק"ל)', 'פ"ת (קרית אריה)-ראשל"צ (רק"ל)', 'ראשל"צ-פ"ת (רק"ל)']</t>
  </si>
  <si>
    <t>מרכז דן, בני ברק</t>
  </si>
  <si>
    <t>8a2db0a0ba17fff</t>
  </si>
  <si>
    <t>[1016, 34005]</t>
  </si>
  <si>
    <t>["['R321-1', 'R331-2', 'R322-2', 'R323-1', 'R323-2', 'R321-2', 'lrt02', 'lrt07', 'R322-1', 'R331-1', 'R329-2', 'lrt08', 'lrt01', 'R329-1', 'lrt04', 'lrt03']"]</t>
  </si>
  <si>
    <t>['מרכזית הקריות - בת גלים (BRT)', 'מרכז הכרמל-גילעם (דרך המנהרות) (BRT)', 'מרכזית חוף הכרמל-מרכזית הקריות (דרך המנהרות) (BRT)', 'מרכזית הקריות-הדר (דרך קרית ים) (BRT)', 'הדר-מרכזית הקריות (דרך קרית ים) (BRT)', 'בת גלים - מרכזית הקריות (BRT)', 'מרכזית המפרץ-נצרת (רק"ל)', 'מרכזית הקריות-חוף הכרמל (דרך 22) (רק"ל)', 'מרכזית הקריות-מרכזית חוף הכרמל (דרך המנהרות) (BRT)', 'גילעם-מרכז הכרמל (דרך המנהרות) (BRT)', 'מרכזית המפרץ-עכו (BRT)', 'חוף הכרמל-מרכזית הקריות (דרך 22) (רק"ל)', 'נצרת-מרכזית המפרץ (רק"ל)', 'עכו-מרכזית המפרץ (BRT)', 'חוף הכרמל-נצרת (רק"ל)', 'נצרת-חוף הכרמל (רק"ל)']</t>
  </si>
  <si>
    <t>חוצות המפרץ</t>
  </si>
  <si>
    <t>8a2db01ad5a7fff</t>
  </si>
  <si>
    <t>[511226, 511227, 511228]</t>
  </si>
  <si>
    <t>איקאה, נתניה</t>
  </si>
  <si>
    <t>8a2db0aedd27fff</t>
  </si>
  <si>
    <t>[1000, 36850, 34014]</t>
  </si>
  <si>
    <t>["['lrt02', 'lrt05', 'lrt01', 'lrt04', 'lrt06', 'lrt03']", "['R1002-2', 'brt012', 'R1002-1']"]</t>
  </si>
  <si>
    <t>['מרכזית המפרץ-נצרת (רק"ל)', 'נצרת-אחיהוד (רק"ל)', 'נצרת-מרכזית המפרץ (רק"ל)', 'חוף הכרמל-נצרת (רק"ל)', 'אחיהוד-נצרת (רק"ל)', 'נצרת-חוף הכרמל (רק"ל)', 'מרכזית הקריות-גילעם (דרך בן גוריון) (BRT)', 'גילעם-דיר חנא (BRT)', 'גילעם-מרכזית הקריות (דרך בן גוריון) (BRT)']</t>
  </si>
  <si>
    <t>מחלף גילעם</t>
  </si>
  <si>
    <t>8a2db01ad56ffff</t>
  </si>
  <si>
    <t>[511224]</t>
  </si>
  <si>
    <t>גיבורי ישראל/התרופה, נתניה</t>
  </si>
  <si>
    <t>8a2db0a5471ffff</t>
  </si>
  <si>
    <t>[31611]</t>
  </si>
  <si>
    <t>["['rail_2_1', 'rail_3_2', 'rail_4_2', 'rail_1_1', 'rail_3_1', 'rail_4_1', 'rail_1_2', 'rail_5_2', 'rail_2_2', 'rail_5_1']"]</t>
  </si>
  <si>
    <t>['נהריה-אילת (רכבת מהירה)', 'באר שבע-נהריה (רכבת בינעירונית)', 'באר שבע-עכו (רכבת בינעירונית)', 'קרית שמונה-מודיעין (רכבת בינעירונית)', 'נהריה-באר שבע (רכבת בינעירונית)', 'עכו-באר שבע (רכבת בינעירונית)', 'מודיעין-קרית שמונה (רכבת בינעירונית)', 'אשקלון-כרמיאל (רכבת בינעירונית)', 'אילת-נהריה (רכבת מהירה)', 'כרמיאל-אשקלון (רכבת בינעירונית)']</t>
  </si>
  <si>
    <t>תחנת רכבת קרית מוצקין</t>
  </si>
  <si>
    <t>8a2db569a22ffff</t>
  </si>
  <si>
    <t>[31624]</t>
  </si>
  <si>
    <t>["['rail_3_1', 'rail_2_1', 'rail_3_2', 'rail_2_2']"]</t>
  </si>
  <si>
    <t>['נהריה-באר שבע (רכבת בינעירונית)', 'נהריה-אילת (רכבת מהירה)', 'באר שבע-נהריה (רכבת בינעירונית)', 'אילת-נהריה (רכבת מהירה)']</t>
  </si>
  <si>
    <t>תחנת רכבת נהריה</t>
  </si>
  <si>
    <t>8a2db62c64dffff</t>
  </si>
  <si>
    <t>[500042, 400820, 500222]</t>
  </si>
  <si>
    <t>['Interurban Rail', 'Suburban Rail', 'BRT', 'BRT']</t>
  </si>
  <si>
    <t>רכבת בינעירונית, רכבת פרברית, BRT, BRT</t>
  </si>
  <si>
    <t>["['rail_21_1', 'rail_3_2', 'rail_21_2', 'rail_4_2', 'rail_17_2', 'rail_3_1', 'rail_4_1', 'rail_15_2', 'BRT_Pink_E', 'BRT_Blue_E', 'BRT_Pink_W', 'rail_15_1', 'BRT_Blue_W', 'rail_17_1']", "['BRT_Pink_E', 'BRT_Blue_W', 'BRT_Blue_E', 'BRT_Pink_W']"]</t>
  </si>
  <si>
    <t>['ירושלים-באר שבע (רכבת בינעירונית)', 'באר שבע-נהריה (רכבת בינעירונית)', 'באר שבע-ירושלים (רכבת בינעירונית)', 'באר שבע-עכו (רכבת בינעירונית)', 'באר שבע-ראש העין (רכבת פרברית)', 'נהריה-באר שבע (רכבת בינעירונית)', 'עכו-באר שבע (רכבת בינעירונית)', 'שוקת-חדרה (רכבת פרברית)', 'אשקלון-קרית גת (ורוד) (BRT)', 'אשקלון-קרית גת (כחול) (BRT)', 'קרית גת-אשקלון (ורוד) (BRT)', 'חדרה-שוקת (רכבת פרברית)', 'קרית גת-אשקלון (כחול) (BRT)', 'ראש העין-באר שבע (רכבת פרברית)']</t>
  </si>
  <si>
    <t>מחוז דרום</t>
  </si>
  <si>
    <t>['מחוז דרום']</t>
  </si>
  <si>
    <t>חוץ</t>
  </si>
  <si>
    <t>8a2db018272ffff</t>
  </si>
  <si>
    <t>[511162, 525060, 521039]</t>
  </si>
  <si>
    <t>['BRT', 'LRT', 'LRT', 'Metro', 'LRT']</t>
  </si>
  <si>
    <t>BRT, רק"ל, רק"ל, מטרו, רק"ל</t>
  </si>
  <si>
    <t>["['LRT141', 'LRT142']", "['LRT142']", "['Me1-2S', 'Me1-2N', 'East-S', 'Me1-1S', 'Me1-1N']"]</t>
  </si>
  <si>
    <t>['נתניה-כפ"ס דרך טייבה/קלאנסווה (BRT)', 'כפ"ס-נתניה דרך טייבה/קלאנסווה (רק"ל)', 'כפר סבא-צומת בילו (דרך הוד השרון) (מטרו)', 'צומת בילו-כפר סבא (דרך הוד השרון) (מטרו)', 'צומת בילו-צומת רעננה (רק"ל)', 'כפר סבא-צומת בילו (דרך רעננה) (מטרו)', 'צומת בילו-כפר סבא (דרך רעננה) (מטרו)']</t>
  </si>
  <si>
    <t>ויצמן/טשרניחובסקי, כפר סבא</t>
  </si>
  <si>
    <t>8a2db0515cb7fff</t>
  </si>
  <si>
    <t>[521002, 525212, 525494]</t>
  </si>
  <si>
    <t>['Metro', 'LRT', 'BRT']</t>
  </si>
  <si>
    <t>מטרו, רק"ל, BRT</t>
  </si>
  <si>
    <t>["['Me1-2N', 'Me1-1N']", "['East-N', 'RH-GY1']"]</t>
  </si>
  <si>
    <t>['צומת בילו-כפר סבא (דרך הוד השרון) (מטרו)', 'צומת בילו-כפר סבא (דרך רעננה) (מטרו)', 'צומת רעננה-צומת בילו (רק"ל)', 'רחובות-גן יבנה (דרך אשדוד) (BRT)']</t>
  </si>
  <si>
    <t>צומת בילו/בית חולים קפלן</t>
  </si>
  <si>
    <t>8a2db0aed737fff</t>
  </si>
  <si>
    <t>[34063, 34064, 36858, 36860, 36862]</t>
  </si>
  <si>
    <t>['LRT', 'BRT', 'LRT', 'BRT']</t>
  </si>
  <si>
    <t>רק"ל, BRT, רק"ל, BRT</t>
  </si>
  <si>
    <t>["['brt011', 'brt012']", "['lrt05', 'lrt06']", "['lrt05', 'brt011', 'brt012', 'lrt06']"]</t>
  </si>
  <si>
    <t>['דיר חנא-גילעם (BRT)', 'גילעם-דיר חנא (BRT)', 'נצרת-אחיהוד (רק"ל)', 'אחיהוד-נצרת (רק"ל)']</t>
  </si>
  <si>
    <t>צומת אבליים</t>
  </si>
  <si>
    <t>8a2db0cc24cffff</t>
  </si>
  <si>
    <t>[525099, 512055]</t>
  </si>
  <si>
    <t>["['Grn1-S', 'Grn2-S', 'Grn2-N', 'Grn3-N', 'Grn3-S', 'BluRT2', 'Grn1-N']"]</t>
  </si>
  <si>
    <t>['עתידים-ראשל"צ (רק"ל)', 'הרצליה-חולון (רק"ל)', 'חולון-הרצליה (רק"ל)', 'חולון-אונ\' ת"א (רק"ל)', 'אונ\' ת"א-חולון (רק"ל)', 'צומת חולון-צומת בילו (BRT)', 'ראשל"צ-עתידים (רק"ל)']</t>
  </si>
  <si>
    <t>גיתית/בן צבי, תל אביב</t>
  </si>
  <si>
    <t>8a2db664e2f7fff</t>
  </si>
  <si>
    <t>[463793, 467925]</t>
  </si>
  <si>
    <t>['Interurban Rail', 'LRT']</t>
  </si>
  <si>
    <t>רכבת בינעירונית, רק"ל</t>
  </si>
  <si>
    <t>['["4.4_Bee\'rSheva-Rahat_Main", \'rail_21_1\', \'rail_3_2\', \'rail_21_2\', \'rail_4_2\', "4.4_Rahat-Bee\'rSheva_Main", \'rail_3_1\', \'rail_4_1\']']</t>
  </si>
  <si>
    <t>['4.4_BeerSheva-Rahat_Main', 'ירושלים-באר שבע (רכבת בינעירונית)', 'באר שבע-נהריה (רכבת בינעירונית)', 'באר שבע-ירושלים (רכבת בינעירונית)', 'באר שבע-עכו (רכבת בינעירונית)', '4.4_Rahat-BeerSheva_Main', 'נהריה-באר שבע (רכבת בינעירונית)', 'עכו-באר שבע (רכבת בינעירונית)']</t>
  </si>
  <si>
    <t>תחנת רכבת להבים-רהט</t>
  </si>
  <si>
    <t>8a2db01adda7fff</t>
  </si>
  <si>
    <t>[511230]</t>
  </si>
  <si>
    <t>לבון/בן גוריון, נתניה</t>
  </si>
  <si>
    <t>8a2db01ad50ffff</t>
  </si>
  <si>
    <t>[511225]</t>
  </si>
  <si>
    <t>בית אדר, נתניה</t>
  </si>
  <si>
    <t>8a2db0cc0647fff</t>
  </si>
  <si>
    <t>[513009, 522003]</t>
  </si>
  <si>
    <t>["['Mgt2-E', 'Mgt1-W', 'Me02-E', 'Mgt1-E', 'Mgt2-W', 'Me02-W', 'Mgt3-E']"]</t>
  </si>
  <si>
    <t>['יהוד-סבידור (רק"ל)', 'סבידור-בר אילן (רק"ל)', 'וולפסון-סגולה (מטרו)', 'בר אילן-סבידור (רק"ל)', 'סבידור-יהוד (רק"ל)', 'סגולה-וולפסון (מטרו)', 'יהוד-אלנבי (רק"ל)']</t>
  </si>
  <si>
    <t>המלך ג'ורג'/אלנבי, תל אביב</t>
  </si>
  <si>
    <t>8a2db050696ffff</t>
  </si>
  <si>
    <t>[512161, 521006, 512111, 525042, 525043, 525045, 511035, 400350]</t>
  </si>
  <si>
    <t>['LRT', 'Metro', 'BRT', 'Interurban Rail', 'Suburban Rail']</t>
  </si>
  <si>
    <t>רק"ל, מטרו, BRT, רכבת בינעירונית, רכבת פרברית</t>
  </si>
  <si>
    <t>["['Turquoise_N', 'Turquoise_S', 'Light-Blue_S']", "['rail_12_2', 'rail_19_2', 'rail_12_1', 'rail_5_2', 'rail_5_1', 'rail_19_1']", "['BluRT1', 'BluRT2']", "['Me1-2S', 'Me1-2N', 'Me1-1N', 'Me1-1S']", "['Turquoise_S', 'Light-Blue_S']", "['L1-S']"]</t>
  </si>
  <si>
    <t>['יבנה מזרח-רחובות (רק"ל)', 'רחובות-יבנה מזרח (רק"ל)', 'יבנה מערב-רחובות (רק"ל)', 'אשקלון-זיכרון יעקב (רכבת פרברית)', 'אשדוד-מודיעין (רכבת פרברית)', 'זיכרון יעקב-אשקלון (רכבת פרברית)', 'אשקלון-כרמיאל (רכבת בינעירונית)', 'כרמיאל-אשקלון (רכבת בינעירונית)', 'מודיעין-אשדוד (רכבת פרברית)', 'צומת בילו-צומת חולון (BRT)', 'צומת חולון-צומת בילו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'רחובות-אשדוד (דרך הנמל) (רק"ל)']</t>
  </si>
  <si>
    <t>תחנת רכבת רחובות</t>
  </si>
  <si>
    <t>8a2db0565967fff</t>
  </si>
  <si>
    <t>[511038, 400550, 523015]</t>
  </si>
  <si>
    <t>['Suburban Rail', 'LRT', 'LRT', 'Metro']</t>
  </si>
  <si>
    <t>רכבת פרברית, רק"ל, רק"ל, מטרו</t>
  </si>
  <si>
    <t>["['rail_20_2', 'Shut-S', 'rail_20_1', 'Red2-S']", "['Me03-L', 'East-S', 'East-N', 'Me03-R']"]</t>
  </si>
  <si>
    <t>['באר שבע-מודיעין (רכבת פרברית)', 'פ"ת-ת"א (רק"ל)', 'מודיעין-באר שבע (רכבת פרברית)', 'פ"ת (קרית אריה)-ראשל"צ (רק"ל)', 'הרצליה-בת ים (מטרו)', 'צומת בילו-צומת רעננה (רק"ל)', 'צומת רעננה-צומת בילו (רק"ל)', 'בת ים-הרצליה (מטרו)']</t>
  </si>
  <si>
    <t>תחנת רכבת קרית אריה</t>
  </si>
  <si>
    <t>8a2db6271127fff</t>
  </si>
  <si>
    <t>[511050, 511059, 400380, 512134]</t>
  </si>
  <si>
    <t>['LRT', 'Interurban Rail', 'Suburban Rail', 'LRT']</t>
  </si>
  <si>
    <t>רק"ל, רכבת בינעירונית, רכבת פרברית, רק"ל</t>
  </si>
  <si>
    <t>["['rail_12_2', 'rail_11_2', 'rail_20_2', 'rail_20_1', 'rail_19_2', 'L2-N', 'rail_11_1', 'rail_12_1', 'rail_5_2', 'rail_5_1', 'rail_19_1']", "['Orange_N', 'RedN', 'RedS', 'Orange_S']", "['L1-N']"]</t>
  </si>
  <si>
    <t>['אשקלון-זיכרון יעקב (רכבת פרברית)', 'שוקת-זיכרון יעקב (רכבת פרברית)', 'באר שבע-מודיעין (רכבת פרברית)', 'מודיעין-באר שבע (רכבת פרברית)', 'אשדוד-מודיעין (רכבת פרברית)', 'אשדוד-יבנה (דרך הנמל) (רק"ל)', 'זיכרון יעקב-שוקת (רכבת פרברית)', 'זיכרון יעקב-אשקלון (רכבת פרברית)', 'אשקלון-כרמיאל (רכבת בינעירונית)', 'כרמיאל-אשקלון (רכבת בינעירונית)', 'מודיעין-אשדוד (רכבת פרברית)', 'אשקלון-אשדוד (כתום) (רק"ל)', 'אשקלון-אשדוד (אדום) (רק"ל)', 'אשדוד-אשקלון (אדום) (רק"ל)', 'אשדוד-אשקלון (כתום) (רק"ל)', 'אשדוד-רחובות (דרך הנמל) (רק"ל)']</t>
  </si>
  <si>
    <t>תחנת רכבת אשדוד-עד הלום</t>
  </si>
  <si>
    <t>8a2db003505ffff</t>
  </si>
  <si>
    <t>[511133]</t>
  </si>
  <si>
    <t>העצמאות/העלייה, כפר יונה</t>
  </si>
  <si>
    <t>8a2db0186c67fff</t>
  </si>
  <si>
    <t>[525308, 521037]</t>
  </si>
  <si>
    <t>['BRT', 'Metro']</t>
  </si>
  <si>
    <t>BRT, מטרו</t>
  </si>
  <si>
    <t>["['Me1-1N', 'Me1-1S']", "['Hz-KS1', 'Hz-KS2']"]</t>
  </si>
  <si>
    <t>['צומת בילו-כפר סבא (דרך רעננה) (מטרו)', 'כפר סבא-צומת בילו (דרך רעננה) (מטרו)', 'כפר סבא-הרצליה (BRT)', 'הרצליה-כפר סבא (BRT)']</t>
  </si>
  <si>
    <t>תחנת רכבת רעננה מערב</t>
  </si>
  <si>
    <t>8a2db052e98ffff</t>
  </si>
  <si>
    <t>[525065, 515018, 515026, 521010, 516025, 516026]</t>
  </si>
  <si>
    <t>['BRT', 'LRT', 'Metro']</t>
  </si>
  <si>
    <t>BRT, רק"ל, מטרו</t>
  </si>
  <si>
    <t>["['ART1-2', 'ART2-1', 'BRT1-1', 'ART2-2', 'BRT1-2', 'ART1-1']", "['Me1-2S', 'Me1-2N', 'Me1-1N', 'Me1-1S']", "['ART1-2', 'ART2-1', 'BRT1-1', 'ART2-2', 'BRT1-2', 'ART1-1', 'BluRT1', 'BluRT2']"]</t>
  </si>
  <si>
    <t>['אסף הרופא-מתחם ה-1000 (רק"ל)', 'חוף ראשל"צ-אסף הרופא (רק"ל)', 'תחנה מרכזית ראשל"צ-לוד (BRT)', 'אסף הרופא-חוף ראשל"צ (רק"ל)', 'לוד-תחנה מרכזית ראשל"צ (BRT)', 'מתחם ה-1000-אסף הרופא (רק"ל)',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(מטרו)', 'צומת בילו-צומת חולון (BRT)', 'צומת חולון-צומת בילו (BRT)']</t>
  </si>
  <si>
    <t>רוטשילד/ז'בוטינסקי, ראשון לציון</t>
  </si>
  <si>
    <t>8a2db0cd5237fff</t>
  </si>
  <si>
    <t>[522025, 400422]</t>
  </si>
  <si>
    <t>['Suburban Rail', 'Metro']</t>
  </si>
  <si>
    <t>רכבת פרברית, מטרו</t>
  </si>
  <si>
    <t>["['rail_11_2', 'rail_20_2', 'Me02-E', 'rail_20_1', 'rail_11_1', 'Me02-W']"]</t>
  </si>
  <si>
    <t>['שוקת-זיכרון יעקב (רכבת פרברית)', 'באר שבע-מודיעין (רכבת פרברית)', 'וולפסון-סגולה (מטרו)', 'מודיעין-באר שבע (רכבת פרברית)', 'זיכרון יעקב-שוקת (רכבת פרברית)', 'סגולה-וולפסון (מטרו)']</t>
  </si>
  <si>
    <t>תחנת רכבת חולון-וולפסון</t>
  </si>
  <si>
    <t>8a2db001004ffff</t>
  </si>
  <si>
    <t>[511144]</t>
  </si>
  <si>
    <t>צומת טייבה</t>
  </si>
  <si>
    <t>8a2db0143317fff</t>
  </si>
  <si>
    <t>[390513, 984889]</t>
  </si>
  <si>
    <t>['Suburban Rail', 'BRT']</t>
  </si>
  <si>
    <t>רכבת פרברית, BRT</t>
  </si>
  <si>
    <t>["['brt061', 'brt062']", "['rail_12_1', 'rail_11_2', 'rail_11_1', 'rail_12_2']"]</t>
  </si>
  <si>
    <t>['אור עקיבא-חדרה (BRT)', 'חדרה-אור עקיבא (BRT)', 'זיכרון יעקב-אשקלון (רכבת פרברית)', 'שוקת-זיכרון יעקב (רכבת פרברית)', 'זיכרון יעקב-שוקת (רכבת פרברית)', 'אשקלון-זיכרון יעקב (רכבת פרברית)']</t>
  </si>
  <si>
    <t>['חיפה']</t>
  </si>
  <si>
    <t>תחנת רכבת קיסריה-פרדס חנה</t>
  </si>
  <si>
    <t>8a2db0a4a2dffff</t>
  </si>
  <si>
    <t>[31525, 34071]</t>
  </si>
  <si>
    <t>["['lrt06']", "['rail_1_1', 'rail_1_2', 'rail_6_2', 'rail_5_2', 'rail_6_1', 'rail_5_1']"]</t>
  </si>
  <si>
    <t>['אחיהוד-נצרת (רק"ל)', 'קרית שמונה-מודיעין (רכבת בינעירונית)', 'מודיעין-קרית שמונה (רכבת בינעירונית)', 'חיפה-כרמיאל (רכבת פרברית)', 'אשקלון-כרמיאל (רכבת בינעירונית)', 'כרמיאל-חיפה (רכבת פרברית)', 'כרמיאל-אשקלון (רכבת בינעירונית)']</t>
  </si>
  <si>
    <t>תחנת רכבת אחיהוד</t>
  </si>
  <si>
    <t>8a2db0523227fff</t>
  </si>
  <si>
    <t>[525059, 525200, 525201, 521009, 400190]</t>
  </si>
  <si>
    <t>['Suburban Rail', 'Metro', 'BRT']</t>
  </si>
  <si>
    <t>רכבת פרברית, מטרו, BRT</t>
  </si>
  <si>
    <t>["['rail_20_2', 'rail_20_1']", "['BluRT1', 'BluRT2']", "['Me1-2S', 'Me1-2N', 'Me1-1N', 'Me1-1S']"]</t>
  </si>
  <si>
    <t>['באר שבע-מודיעין (רכבת פרברית)', 'מודיעין-באר שבע (רכבת פרברית)', 'צומת בילו-צומת חולון (BRT)', 'צומת חולון-צומת בילו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</si>
  <si>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תחנת רכבת הראשונים</t>
  </si>
  <si>
    <t>8a2db030801ffff</t>
  </si>
  <si>
    <t>[36985, 31634]</t>
  </si>
  <si>
    <t>["['rail_7_2', 'rail_10_1', 'rail_10_2', 'rail_7_1', 'brt041']"]</t>
  </si>
  <si>
    <t>['עתלית-טבריה (רכבת פרברית)', 'בית שאן-הרצליה (רכבת פרברית)', 'הרצליה-בית שאן (רכבת פרברית)', 'טבריה-עתלית (רכבת פרברית)', 'עפולה-נצרת (BRT)']</t>
  </si>
  <si>
    <t>צפון</t>
  </si>
  <si>
    <t>['צפון']</t>
  </si>
  <si>
    <t>תחנת רכבת עפולה</t>
  </si>
  <si>
    <t>8a2db01b0097fff</t>
  </si>
  <si>
    <t>[400060, 511253, 511254, 525318]</t>
  </si>
  <si>
    <t>["['LRT132', 'LRT121', 'LRT122', 'LRT131']", "['rail_20_2', 'rail_4_1', 'rail_1_2', 'rail_5_2', 'rail_5_1', 'rail_20_1', 'rail_10_2', 'rail_12_2', 'rail_11_2', 'rail_17_2', 'rail_1_1', 'rail_10_1', 'rail_11_1', 'rail_16_1', 'rail_12_1', 'rail_17_1', 'rail_3_2', 'rail_14_2', 'rail_4_2', 'rail_3_1', 'rail_14_1', 'rail_16_2']", "['Hz-KS1', 'Hz-KS2']"]</t>
  </si>
  <si>
    <t>['הרצליה-נתניה מזרח (רק"ל)', 'נתניה מערב-הרצליה (רק"ל)', 'הרצליה-נתניה מערב (רק"ל)', 'נתניה מזרח-הרצליה (רק"ל)', 'באר שבע-מודיעין (רכבת פרברית)', 'עכו-באר שבע (רכבת בינעירונית)', 'מודיעין-קרית שמונה (רכבת בינעירונית)', 'אשקלון-כרמיאל (רכבת בינעירונית)', 'כרמיאל-אשקלון (רכבת בינעירונית)', 'מודיעין-באר שבע (רכבת פרברית)', 'הרצליה-בית שאן (רכבת פרברית)', 'אשקלון-זיכרון יעקב (רכבת פרברית)', 'שוקת-זיכרון יעקב (רכבת פרברית)', 'באר שבע-ראש העין (רכבת פרברית)', 'קרית שמונה-מודיעין (רכבת בינעירונית)', 'בית שאן-הרצליה (רכבת פרברית)', 'זיכרון יעקב-שוקת (רכבת פרברית)', 'הרצליה-בית שמש (רכבת פרברית)', 'זיכרון יעקב-אשקלון (רכבת פרברית)', 'ראש העין-באר שבע (רכבת פרברית)', 'באר שבע-נהריה (רכבת בינעירונית)', 'ירושלים-נתניה (רכבת פרברית)', 'באר שבע-עכו (רכבת בינעירונית)', 'נהריה-באר שבע (רכבת בינעירונית)', 'נתניה-ירושלים (רכבת פרברית)', 'בית שמש-הרצליה (רכבת פרברית)', 'כפר סבא-הרצליה (BRT)', 'הרצליה-כפר סבא (BRT)']</t>
  </si>
  <si>
    <t>תחנת רכבת הרצליה</t>
  </si>
  <si>
    <t>8a2db0031907fff</t>
  </si>
  <si>
    <t>[511135]</t>
  </si>
  <si>
    <t>בן גוריון/כביש 57, כפר יונה</t>
  </si>
  <si>
    <t>8a2db0cd0a97fff</t>
  </si>
  <si>
    <t>[521056, 523002, 400423]</t>
  </si>
  <si>
    <t>["['Me03-L', 'Me03-R']", "['rail_20_2', 'rail_11_2', 'rail_11_1', 'rail_20_1']", "['Me1-2S', 'Me1-2N', 'Me1-1N', 'Me1-1S']"]</t>
  </si>
  <si>
    <t>['הרצליה-בת ים (מטרו)', 'בת ים-הרצליה (מטרו)', 'באר שבע-מודיעין (רכבת פרברית)', 'שוקת-זיכרון יעקב (רכבת פרברית)', 'זיכרון יעקב-שוקת (רכבת פרברית)', 'מודיעין-באר שבע (רכבת פרברית)',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</si>
  <si>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תחנת רכבת בת ים-יוספטל</t>
  </si>
  <si>
    <t>8a2db0154b4ffff</t>
  </si>
  <si>
    <t>[984883, 400343]</t>
  </si>
  <si>
    <t>['BRT', 'Interurban Rail', 'Suburban Rail']</t>
  </si>
  <si>
    <t>BRT, רכבת בינעירונית, רכבת פרברית</t>
  </si>
  <si>
    <t>["['brt051', 'brt062']", "['rail_12_2', 'rail_11_2', 'rail_1_1', 'rail_1_2', 'rail_11_1', 'rail_12_1']"]</t>
  </si>
  <si>
    <t>['חדרה-באקה אל גרבייה (BRT)', 'חדרה-אור עקיבא (BRT)', 'אשקלון-זיכרון יעקב (רכבת פרברית)', 'שוקת-זיכרון יעקב (רכבת פרברית)', 'קרית שמונה-מודיעין (רכבת בינעירונית)', 'מודיעין-קרית שמונה (רכבת בינעירונית)', 'זיכרון יעקב-שוקת (רכבת פרברית)', 'זיכרון יעקב-אשקלון (רכבת פרברית)']</t>
  </si>
  <si>
    <t>תחנת רכבת חדרה-מערב</t>
  </si>
  <si>
    <t>8a2db0521667fff</t>
  </si>
  <si>
    <t>[515049, 515021, 516023, 516024, 150620]</t>
  </si>
  <si>
    <t>["['ART1-2', 'ART2-1', 'BRT1-1', 'ART2-2', 'BRT1-2', 'ART1-1']", "['ART1-2', 'ART2-1', 'ART1-1', 'ART2-2']", "['BRT1-1', 'BRT1-2']"]</t>
  </si>
  <si>
    <t>['אסף הרופא-מתחם ה-1000 (רק"ל)', 'חוף ראשל"צ-אסף הרופא (רק"ל)', 'תחנה מרכזית ראשל"צ-לוד (BRT)', 'אסף הרופא-חוף ראשל"צ (רק"ל)', 'לוד-תחנה מרכזית ראשל"צ (BRT)', 'מתחם ה-1000-אסף הרופא (רק"ל)']</t>
  </si>
  <si>
    <t>רוטשילד/רמז, ראשון לציון</t>
  </si>
  <si>
    <t>8a2db018861ffff</t>
  </si>
  <si>
    <t>[511152]</t>
  </si>
  <si>
    <t>מגדל המים, טירה</t>
  </si>
  <si>
    <t>8a2db0010557fff</t>
  </si>
  <si>
    <t>[511146]</t>
  </si>
  <si>
    <t>שיח מסעוד, טייבה</t>
  </si>
  <si>
    <t>[511128, 400020]</t>
  </si>
  <si>
    <t>["['rail_12_2', 'rail_3_2', 'rail_14_2', 'rail_4_2', 'rail_11_2', 'rail_1_1', 'rail_3_1', 'rail_4_1', 'rail_14_1', 'rail_1_2', 'rail_11_1', 'rail_12_1', 'rail_5_2', 'rail_5_1']", "['LRT132', 'LRT131']"]</t>
  </si>
  <si>
    <t>['אשקלון-זיכרון יעקב (רכבת פרברית)', 'באר שבע-נהריה (רכבת בינעירונית)', 'ירושלים-נתניה (רכבת פרברית)', 'באר שבע-עכו (רכבת בינעירונית)', 'שוקת-זיכרון יעקב (רכבת פרברית)', 'קרית שמונה-מודיעין (רכבת בינעירונית)', 'נהריה-באר שבע (רכבת בינעירונית)', 'עכו-באר שבע (רכבת בינעירונית)', 'נתניה-ירושלים (רכבת פרברית)', 'מודיעין-קרית שמונה (רכבת בינעירונית)', 'זיכרון יעקב-שוקת (רכבת פרברית)', 'זיכרון יעקב-אשקלון (רכבת פרברית)', 'אשקלון-כרמיאל (רכבת בינעירונית)', 'כרמיאל-אשקלון (רכבת בינעירונית)', 'הרצליה-נתניה מזרח (רק"ל)', 'נתניה מזרח-הרצליה (רק"ל)']</t>
  </si>
  <si>
    <t>8a2db0118037fff</t>
  </si>
  <si>
    <t>8a2db011b057fff</t>
  </si>
  <si>
    <t>[511132]</t>
  </si>
  <si>
    <t>צומת גנות הדר</t>
  </si>
  <si>
    <t>8a2db0536d1ffff</t>
  </si>
  <si>
    <t>[400360, 512073, 511055, 512231]</t>
  </si>
  <si>
    <t>["['Turquoise_N', 'Turquoise_S', 'Light-Blue_S']", "['rail_12_2', 'rail_19_2', 'rail_12_1', 'rail_5_2', 'rail_5_1', 'rail_19_1']", "['L2-N', 'L2-S']", "['Light-Blue_S']"]</t>
  </si>
  <si>
    <t>['יבנה מזרח-רחובות (רק"ל)', 'רחובות-יבנה מזרח (רק"ל)', 'יבנה מערב-רחובות (רק"ל)', 'אשקלון-זיכרון יעקב (רכבת פרברית)', 'אשדוד-מודיעין (רכבת פרברית)', 'זיכרון יעקב-אשקלון (רכבת פרברית)', 'אשקלון-כרמיאל (רכבת בינעירונית)', 'כרמיאל-אשקלון (רכבת בינעירונית)', 'מודיעין-אשדוד (רכבת פרברית)', 'אשדוד-יבנה (דרך הנמל) (רק"ל)', 'יבנה-אשדוד (דרך הנמל) (רק"ל)']</t>
  </si>
  <si>
    <t>תחנת רכבת יבנה-מזרח</t>
  </si>
  <si>
    <t>8a2db0ccb6d7fff</t>
  </si>
  <si>
    <t>[525573, 523022]</t>
  </si>
  <si>
    <t>["['RH-RG1', 'RH-RG2', 'RG-RH2', 'RG-RH1']", "['Me03-L', 'East-S', 'East-N', 'Me03-R']"]</t>
  </si>
  <si>
    <t>['ר"ג-כפר קאסם (BRT)', 'ראש העין-רמת גן (BRT)', 'ראש העין-רמת גן (BRT)', 'כפר קאסם-ר"ג (BRT)', 'הרצליה-בת ים (מטרו)', 'צומת בילו-צומת רעננה (רק"ל)', 'צומת רעננה-צומת בילו (רק"ל)', 'בת ים-הרצליה (מטרו)']</t>
  </si>
  <si>
    <t>גיסין/משה דיין, פתח תקווה</t>
  </si>
  <si>
    <t>8a2db01ada9ffff</t>
  </si>
  <si>
    <t>[511243]</t>
  </si>
  <si>
    <t>אורט הרמלין, נתניה</t>
  </si>
  <si>
    <t>8a2db050dcdffff</t>
  </si>
  <si>
    <t>[521080, 170132, 400310]</t>
  </si>
  <si>
    <t>['Interurban Rail', 'BRT']</t>
  </si>
  <si>
    <t>רכבת בינעירונית, BRT</t>
  </si>
  <si>
    <t>["['Yelw-N']", "['rail_5_2', 'rail_5_1']", "['BRT1-1']"]</t>
  </si>
  <si>
    <t>['רצועת הנופש-צומת חולון (BRT)', 'אשקלון-כרמיאל (רכבת בינעירונית)', 'כרמיאל-אשקלון (רכבת בינעירונית)', 'תחנה מרכזית ראשל"צ-לוד (BRT)']</t>
  </si>
  <si>
    <t>תחנת רכבת לוד-גני אביב</t>
  </si>
  <si>
    <t>8a2db018328ffff</t>
  </si>
  <si>
    <t>[511155]</t>
  </si>
  <si>
    <t>צומת בית ברל</t>
  </si>
  <si>
    <t>8a2db050832ffff</t>
  </si>
  <si>
    <t>[515801, 521078]</t>
  </si>
  <si>
    <t>['BRT', 'LRT', 'BRT']</t>
  </si>
  <si>
    <t>BRT, רק"ל, BRT</t>
  </si>
  <si>
    <t>["['Yelw-S', 'East-N', 'Yelw-N', 'East-S']", "['BRT2-1', 'BRT2-2', 'BRT1-1', 'BRT1-2']"]</t>
  </si>
  <si>
    <t>['צומת חולון-רצועת הנופש (BRT)', 'צומת רעננה-צומת בילו (רק"ל)', 'רצועת הנופש-צומת חולון (BRT)', 'צומת בילו-צומת רעננה (רק"ל)', 'אסף הרופא-אירפורט סיטי (BRT)', 'אירפורא סיטי-אסף הרופא (BRT)', 'תחנה מרכזית ראשל"צ-לוד (BRT)', 'לוד-תחנה מרכזית ראשל"צ (BRT)']</t>
  </si>
  <si>
    <t>אבא הלל סילבר/מבצע יונתן</t>
  </si>
  <si>
    <t>8a2db037035ffff</t>
  </si>
  <si>
    <t>[36964, 36965, 35023, 34034, 36987, 36990]</t>
  </si>
  <si>
    <t>["['brt041', 'brt031', 'brt042', 'brt032']", "['brt042', 'lrt05', 'brt032', 'lrt01', 'lrt03']", "['brt031', 'brt032']"]</t>
  </si>
  <si>
    <t>['עפולה-נצרת (BRT)', 'כפר ברוך-נצרת (BRT)', 'נצרת-עפולה (BRT)', 'נצרת-כפר ברוך (BRT)', 'נצרת-אחיהוד (רק"ל)', 'נצרת-מרכזית המפרץ (רק"ל)', 'נצרת-חוף הכרמל (רק"ל)']</t>
  </si>
  <si>
    <t>כיכר המוסכים, נצרת</t>
  </si>
  <si>
    <t>8a2db0cd660ffff</t>
  </si>
  <si>
    <t>[512038, 400424, 516009, 516008, 511037]</t>
  </si>
  <si>
    <t>['LRT', 'Suburban Rail', 'LRT']</t>
  </si>
  <si>
    <t>רק"ל, רכבת פרברית, רק"ל</t>
  </si>
  <si>
    <t>["['Grn1-N']", "['ART1-2', 'ART2-1', 'ART1-1', 'ART2-2']", "['Red-N', 'Red2-N']", "['ART1-2', 'ART2-1', 'rail_11_2', 'ART2-2', 'rail_20_2', 'rail_20_1', 'rail_11_1', 'ART1-1']"]</t>
  </si>
  <si>
    <t>['ראשל"צ-עתידים (רק"ל)', 'אסף הרופא-מתחם ה-1000 (רק"ל)', 'חוף ראשל"צ-אסף הרופא (רק"ל)', 'מתחם ה-1000-אסף הרופא (רק"ל)', 'אסף הרופא-חוף ראשל"צ (רק"ל)', 'ראשל"צ-פ"ת (רק"ל)', 'ראשל"צ-פ"ת (קרית אריה) (רק"ל)', 'שוקת-זיכרון יעקב (רכבת פרברית)', 'באר שבע-מודיעין (רכבת פרברית)', 'מודיעין-באר שבע (רכבת פרברית)', 'זיכרון יעקב-שוקת (רכבת פרברית)']</t>
  </si>
  <si>
    <t>תחנת רכבת משה דיין</t>
  </si>
  <si>
    <t>8a2db01a8d67fff</t>
  </si>
  <si>
    <t>[400030, 511246]</t>
  </si>
  <si>
    <t>['LRT', 'Suburban Rail']</t>
  </si>
  <si>
    <t>רק"ל, רכבת פרברית</t>
  </si>
  <si>
    <t>["['LRT132', 'LRT121', 'LRT122', 'LRT131']", "['rail_14_1', 'rail_11_2', 'rail_11_1', 'rail_14_2']"]</t>
  </si>
  <si>
    <t>['הרצליה-נתניה מזרח (רק"ל)', 'נתניה מערב-הרצליה (רק"ל)', 'הרצליה-נתניה מערב (רק"ל)', 'נתניה מזרח-הרצליה (רק"ל)', 'נתניה-ירושלים (רכבת פרברית)', 'שוקת-זיכרון יעקב (רכבת פרברית)', 'זיכרון יעקב-שוקת (רכבת פרברית)', 'ירושלים-נתניה (רכבת פרברית)']</t>
  </si>
  <si>
    <t>תחנת רכבת בית יהושוע</t>
  </si>
  <si>
    <t>8a2db01b0c07fff</t>
  </si>
  <si>
    <t>[525321, 523026, 512039]</t>
  </si>
  <si>
    <t>['LRT', 'Metro', 'BRT']</t>
  </si>
  <si>
    <t>רק"ל, מטרו, BRT</t>
  </si>
  <si>
    <t>["['Me03-L', 'Me03-R']", "['LRT132', 'Grn2-S', 'LRT122']", "['Hz-KS1', 'Hz-KS2']"]</t>
  </si>
  <si>
    <t>['הרצליה-בת ים (מטרו)', 'בת ים-הרצליה (מטרו)', 'הרצליה-נתניה מזרח (רק"ל)', 'הרצליה-חולון (רק"ל)', 'הרצליה-נתניה מערב (רק"ל)', 'כפר סבא-הרצליה (BRT)', 'הרצליה-כפר סבא (BRT)']</t>
  </si>
  <si>
    <t>אבא אבן/נעמי שמר, הרצליה</t>
  </si>
  <si>
    <t>8a2db6205c27fff</t>
  </si>
  <si>
    <t>[512089, 500092]</t>
  </si>
  <si>
    <t>["['Orange_N', 'Orange_S']", "['BRT_Blue_W', 'BRT_Blue_E']"]</t>
  </si>
  <si>
    <t>['אשקלון-אשדוד (כתום) (רק"ל)', 'אשדוד-אשקלון (כתום) (רק"ל)', 'קרית גת-אשקלון (כחול) (BRT)', 'אשקלון-קרית גת (כחול) (BRT)']</t>
  </si>
  <si>
    <t>8a2db019421ffff</t>
  </si>
  <si>
    <t>[521068]</t>
  </si>
  <si>
    <t>["['Yelw-S', 'Me1-2N', 'Me1-2S', 'Yelw-N']"]</t>
  </si>
  <si>
    <t>['צומת חולון-רצועת הנופש (BRT)', 'צומת בילו-כפר סבא (דרך הוד השרון) (מטרו)', 'כפר סבא-צומת בילו (דרך הוד השרון) (מטרו)', 'רצועת הנופש-צומת חולון (BRT)']</t>
  </si>
  <si>
    <t>תע"ש השרון - מזרח</t>
  </si>
  <si>
    <t>8a2db0508547fff</t>
  </si>
  <si>
    <t>[521043]</t>
  </si>
  <si>
    <t>["['Yelw-S', 'East-N', 'Yelw-N', 'East-S']"]</t>
  </si>
  <si>
    <t>['צומת חולון-רצועת הנופש (BRT)', 'צומת רעננה-צומת בילו (רק"ל)', 'רצועת הנופש-צומת חולון (BRT)', 'צומת בילו-צומת רעננה (רק"ל)']</t>
  </si>
  <si>
    <t>קניון לוד</t>
  </si>
  <si>
    <t>8a2db01ac85ffff</t>
  </si>
  <si>
    <t>[511232]</t>
  </si>
  <si>
    <t>אהוד מנור/שוש עטרי, נתניה</t>
  </si>
  <si>
    <t>8a2db0564477fff</t>
  </si>
  <si>
    <t>[522012, 523012]</t>
  </si>
  <si>
    <t>['Metro', 'LRT', 'Metro']</t>
  </si>
  <si>
    <t>מטרו, רק"ל, מטרו</t>
  </si>
  <si>
    <t>["['Me03-L', 'East-S', 'Me03-R']", "['Me02-E', 'Me02-W']"]</t>
  </si>
  <si>
    <t>['הרצליה-בת ים (מטרו)', 'צומת בילו-צומת רעננה (רק"ל)', 'בת ים-הרצליה (מטרו)', 'וולפסון-סגולה (מטרו)', 'סגולה-וולפסון (מטרו)']</t>
  </si>
  <si>
    <t>כיכר יפה נוף, פתח תקווה</t>
  </si>
  <si>
    <t>8a2db0a5224ffff</t>
  </si>
  <si>
    <t>[1002, 34011]</t>
  </si>
  <si>
    <t>["['R1002-2', 'R1002-1']", "['lrt02', 'lrt01', 'lrt04', 'lrt03']"]</t>
  </si>
  <si>
    <t>['מרכזית הקריות-גילעם (דרך בן גוריון) (BRT)', 'גילעם-מרכזית הקריות (דרך בן גוריון) (BRT)', 'מרכזית המפרץ-נצרת (רק"ל)', 'נצרת-מרכזית המפרץ (רק"ל)', 'חוף הכרמל-נצרת (רק"ל)', 'נצרת-חוף הכרמל (רק"ל)']</t>
  </si>
  <si>
    <t>יצחק רבין/מנחם בגין, קרית אתא</t>
  </si>
  <si>
    <t>8a2db0cd095ffff</t>
  </si>
  <si>
    <t>[523001, 511029]</t>
  </si>
  <si>
    <t>["['Me03-L', 'Me03-R']", "['Red-N', 'Red2-N', 'Red2-S', 'Red-S']"]</t>
  </si>
  <si>
    <t>['הרצליה-בת ים (מטרו)', 'בת ים-הרצליה (מטרו)', 'ראשל"צ-פ"ת (רק"ל)', 'ראשל"צ-פ"ת (קרית אריה) (רק"ל)', 'פ"ת (קרית אריה)-ראשל"צ (רק"ל)', 'פ"ת-ראשל"צ (רק"ל)']</t>
  </si>
  <si>
    <t>ניסנבאום/יוספטל, בת ים</t>
  </si>
  <si>
    <t>8a2db0015c87fff</t>
  </si>
  <si>
    <t>[511142]</t>
  </si>
  <si>
    <t>מועצה מקומית קלנסוואה</t>
  </si>
  <si>
    <t>8a2db050e257fff</t>
  </si>
  <si>
    <t>[515072, 521035, 521044, 515037]</t>
  </si>
  <si>
    <t>שדרות ירושלים/הרמ"א, רמלה</t>
  </si>
  <si>
    <t>8a2db0534917fff</t>
  </si>
  <si>
    <t>[400425, 511054]</t>
  </si>
  <si>
    <t>["['L2-S']", "['rail_20_2', 'rail_11_2', 'rail_11_1', 'rail_20_1']"]</t>
  </si>
  <si>
    <t>['יבנה-אשדוד (דרך הנמל) (רק"ל)', 'באר שבע-מודיעין (רכבת פרברית)', 'שוקת-זיכרון יעקב (רכבת פרברית)', 'זיכרון יעקב-שוקת (רכבת פרברית)', 'מודיעין-באר שבע (רכבת פרברית)']</t>
  </si>
  <si>
    <t>תחנת רכבת יבנה-מערב</t>
  </si>
  <si>
    <t>8a2db0cde18ffff</t>
  </si>
  <si>
    <t>[525091, 523006]</t>
  </si>
  <si>
    <t>['Metro', 'BRT']</t>
  </si>
  <si>
    <t>מטרו, BRT</t>
  </si>
  <si>
    <t>["['Me03-L', 'Me03-R']", "['BluRT1', 'BluRT2']"]</t>
  </si>
  <si>
    <t>['הרצליה-בת ים (מטרו)', 'בת ים-הרצליה (מטרו)', 'צומת בילו-צומת חולון (BRT)', 'צומת חולון-צומת בילו (BRT)']</t>
  </si>
  <si>
    <t>השבעה/המלאכה, חולון</t>
  </si>
  <si>
    <t>8a2db0a56427fff</t>
  </si>
  <si>
    <t>[34006, 1014]</t>
  </si>
  <si>
    <t>["['R331-2', 'R331-1']", "['lrt02', 'lrt07', 'lrt08', 'lrt01', 'lrt04', 'lrt03']"]</t>
  </si>
  <si>
    <t>['מרכז הכרמל-גילעם (דרך המנהרות) (BRT)', 'גילעם-מרכז הכרמל (דרך המנהרות) (BRT)', 'מרכזית המפרץ-נצרת (רק"ל)', 'מרכזית הקריות-חוף הכרמל (דרך 22) (רק"ל)', 'חוף הכרמל-מרכזית הקריות (דרך 22) (רק"ל)', 'נצרת-מרכזית המפרץ (רק"ל)', 'חוף הכרמל-נצרת (רק"ל)', 'נצרת-חוף הכרמל (רק"ל)']</t>
  </si>
  <si>
    <t>מחלף קרית אתא דרום</t>
  </si>
  <si>
    <t>8a2db0118717fff</t>
  </si>
  <si>
    <t>[511259]</t>
  </si>
  <si>
    <t>פנקס/המסגר, נתניה</t>
  </si>
  <si>
    <t>8a2db0cc949ffff</t>
  </si>
  <si>
    <t>[523016, 512063]</t>
  </si>
  <si>
    <t>["['Me03-L', 'Me03-R']", "['Grn1-S', 'Grn1-N']"]</t>
  </si>
  <si>
    <t>['הרצליה-בת ים (מטרו)', 'בת ים-הרצליה (מטרו)', 'עתידים-ראשל"צ (רק"ל)', 'ראשל"צ-עתידים (רק"ל)']</t>
  </si>
  <si>
    <t>הארד/ולנברג, תל אביב</t>
  </si>
  <si>
    <t>8a2db032c78ffff</t>
  </si>
  <si>
    <t>[31633, 36847]</t>
  </si>
  <si>
    <t>["['brt031']", "['rail_10_2', 'rail_7_1', 'rail_7_2', 'rail_10_1']"]</t>
  </si>
  <si>
    <t>['כפר ברוך-נצרת (BRT)', 'הרצליה-בית שאן (רכבת פרברית)', 'טבריה-עתלית (רכבת פרברית)', 'עתלית-טבריה (רכבת פרברית)', 'בית שאן-הרצליה (רכבת פרברית)']</t>
  </si>
  <si>
    <t>תחנת רכבת כפר ברוך</t>
  </si>
  <si>
    <t>8a2db0183417fff</t>
  </si>
  <si>
    <t>[525295, 511159]</t>
  </si>
  <si>
    <t>["['LRT141', 'LRT142']", "['Hz-KS1', 'Hz-KS2']"]</t>
  </si>
  <si>
    <t>['נתניה-כפ"ס דרך טייבה/קלאנסווה (BRT)', 'כפ"ס-נתניה דרך טייבה/קלאנסווה (רק"ל)', 'כפר סבא-הרצליה (BRT)', 'הרצליה-כפר סבא (BRT)']</t>
  </si>
  <si>
    <t>בן יהודה/טשרניחובסקי, כפר סבא</t>
  </si>
  <si>
    <t>8a2db0545c8ffff</t>
  </si>
  <si>
    <t>[400252, 525333]</t>
  </si>
  <si>
    <t>["['BBEld1', 'BBEld2']", "['rail_13_2', 'rail_15_2', 'rail_10_1', 'rail_10_2', 'rail_15_1', 'rail_13_1']"]</t>
  </si>
  <si>
    <t>['אלעד-פ"ת (BRT)', 'פ"ת-אלעד (BRT)', 'ירושלים-חריש (רכבת פרברית)', 'שוקת-חדרה (רכבת פרברית)', 'בית שאן-הרצליה (רכבת פרברית)', 'הרצליה-בית שאן (רכבת פרברית)', 'חדרה-שוקת (רכבת פרברית)', 'חריש-ירושלים (רכבת פרברית)']</t>
  </si>
  <si>
    <t>תחנת רכבת אלעד</t>
  </si>
  <si>
    <t>8a2db050315ffff</t>
  </si>
  <si>
    <t>[525209, 400181]</t>
  </si>
  <si>
    <t>["['East-S', 'East-N']", "['rail_20_2', 'rail_20_1', 'rail_19_2', 'rail_19_1']"]</t>
  </si>
  <si>
    <t>['צומת בילו-צומת רעננה (רק"ל)', 'צומת רעננה-צומת בילו (רק"ל)', 'באר שבע-מודיעין (רכבת פרברית)', 'מודיעין-באר שבע (רכבת פרברית)', 'אשדוד-מודיעין (רכבת פרברית)', 'מודיעין-אשדוד (רכבת פרברית)']</t>
  </si>
  <si>
    <t>תחנת רכבת רמלה-דרום</t>
  </si>
  <si>
    <t>8a2db6205547fff</t>
  </si>
  <si>
    <t>[282738, 500094]</t>
  </si>
  <si>
    <t>["['Orange_N', 'BRT_Blue_W', 'BRT_Blue_E', 'Orange_S']"]</t>
  </si>
  <si>
    <t>['אשקלון-אשדוד (כתום) (רק"ל)', 'קרית גת-אשקלון (כחול) (BRT)', 'אשקלון-קרית גת (כחול) (BRT)', 'אשדוד-אשקלון (כתום) (רק"ל)']</t>
  </si>
  <si>
    <t>8a2db0a52227fff</t>
  </si>
  <si>
    <t>[34010, 1003]</t>
  </si>
  <si>
    <t>["['R331-2', 'R1002-2', 'R331-1', 'R1001-1', 'R1001-2', 'R1002-1']", "['lrt02', 'lrt01', 'lrt04', 'lrt03']"]</t>
  </si>
  <si>
    <t>['מרכז הכרמל-גילעם (דרך המנהרות) (BRT)', 'מרכזית הקריות-גילעם (דרך בן גוריון) (BRT)', 'גילעם-מרכז הכרמל (דרך המנהרות) (BRT)', 'גילעם-מרכזית הקריות (דרך הקריון) (BRT)', 'מרכזית הקריות-גילעם (דרך הקריון) (BRT)', 'גילעם-מרכזית הקריות (דרך בן גוריון) (BRT)', 'מרכזית המפרץ-נצרת (רק"ל)', 'נצרת-מרכזית המפרץ (רק"ל)', 'חוף הכרמל-נצרת (רק"ל)', 'נצרת-חוף הכרמל (רק"ל)']</t>
  </si>
  <si>
    <t>אצטדיון קרית אתא</t>
  </si>
  <si>
    <t>8a2db011865ffff</t>
  </si>
  <si>
    <t>[511258, 511203, 511130]</t>
  </si>
  <si>
    <t>['BRT', 'LRT', 'LRT']</t>
  </si>
  <si>
    <t>BRT, רק"ל, רק"ל</t>
  </si>
  <si>
    <t>["['LRT132', 'LRT141', 'LRT142', 'LRT131']", "['LRT132', 'LRT131']"]</t>
  </si>
  <si>
    <t>['הרצליה-נתניה מזרח (רק"ל)', 'נתניה-כפ"ס דרך טייבה/קלאנסווה (BRT)', 'כפ"ס-נתניה דרך טייבה/קלאנסווה (רק"ל)', 'נתניה מזרח-הרצליה (רק"ל)']</t>
  </si>
  <si>
    <t>כביש 57/דרך דגניה, נתניה</t>
  </si>
  <si>
    <t>8a2db0cd3307fff</t>
  </si>
  <si>
    <t>[525240, 512049, 523005]</t>
  </si>
  <si>
    <t>['LRT', 'BRT', 'Metro']</t>
  </si>
  <si>
    <t>רק"ל, BRT, מטרו</t>
  </si>
  <si>
    <t>["['Grn2-S', 'Grn2-N']", "['Me03-L', 'Me03-R']", "['Yelw-S', 'Yelw-N']"]</t>
  </si>
  <si>
    <t>['הרצליה-חולון (רק"ל)', 'חולון-הרצליה (רק"ל)', 'הרצליה-בת ים (מטרו)', 'בת ים-הרצליה (מטרו)', 'צומת חולון-רצועת הנופש (BRT)', 'רצועת הנופש-צומת חולון (BRT)']</t>
  </si>
  <si>
    <t>המלאכה/הרוקמים, חולון</t>
  </si>
  <si>
    <t>8a2db052e397fff</t>
  </si>
  <si>
    <t>[516032, 515014]</t>
  </si>
  <si>
    <t>["['ART1-2', 'ART2-1', 'BRT1-1', 'ART2-2', 'BRT1-2', 'ART1-1']"]</t>
  </si>
  <si>
    <t>השומר/ירושלים, ראשון לציון</t>
  </si>
  <si>
    <t>8a2db056434ffff</t>
  </si>
  <si>
    <t>[523014]</t>
  </si>
  <si>
    <t>["['Me03-L', 'East-S', 'East-N', 'Me03-R']"]</t>
  </si>
  <si>
    <t>['הרצליה-בת ים (מטרו)', 'צומת בילו-צומת רעננה (רק"ל)', 'צומת רעננה-צומת בילו (רק"ל)', 'בת ים-הרצליה (מטרו)']</t>
  </si>
  <si>
    <t>בית חולים בילינסון</t>
  </si>
  <si>
    <t>8a2db620570ffff</t>
  </si>
  <si>
    <t>[500096, 282739]</t>
  </si>
  <si>
    <t>8a2db01187b7fff</t>
  </si>
  <si>
    <t>[511260]</t>
  </si>
  <si>
    <t>פנקס/האורג, נתניה</t>
  </si>
  <si>
    <t>8a2db052aa57fff</t>
  </si>
  <si>
    <t>[521049, 515010, 516043, 515074]</t>
  </si>
  <si>
    <t>["['Yelw-S', 'Yelw-N']", "['BRT2-2', 'BRT2-1']", "['ART2-1', 'BRT2-2', 'ART1-1']"]</t>
  </si>
  <si>
    <t>['צומת חולון-רצועת הנופש (BRT)', 'רצועת הנופש-צומת חולון (BRT)', 'אירפורא סיטי-אסף הרופא (BRT)', 'אסף הרופא-אירפורט סיטי (BRT)', 'חוף ראשל"צ-אסף הרופא (רק"ל)', 'מתחם ה-1000-אסף הרופא (רק"ל)']</t>
  </si>
  <si>
    <t>אסף הרופא</t>
  </si>
  <si>
    <t>8a2db00a580ffff</t>
  </si>
  <si>
    <t>[511263]</t>
  </si>
  <si>
    <t>צומת טירה</t>
  </si>
  <si>
    <t>8a2db0cd06e7fff</t>
  </si>
  <si>
    <t>[512032, 521055]</t>
  </si>
  <si>
    <t>["['Grn1-S', 'Me1-2S', 'Grn3-N', 'Grn3-S', 'Me1-2N', 'Me1-1S', 'Me1-1N', 'Grn1-N']"]</t>
  </si>
  <si>
    <t>['עתידים-ראשל"צ (רק"ל)', 'כפר סבא-צומת בילו (דרך הוד השרון) (מטרו)', 'חולון-אונ\' ת"א (רק"ל)', 'אונ\' ת"א-חולון (רק"ל)', 'צומת בילו-כפר סבא (דרך הוד השרון) (מטרו)', 'כפר סבא-צומת בילו (דרך רעננה) (מטרו)', 'צומת בילו-כפר סבא (דרך רעננה) (מטרו)', 'ראשל"צ-עתידים (רק"ל)']</t>
  </si>
  <si>
    <t>אהוד מנור/בגין, חולון</t>
  </si>
  <si>
    <t>8a2db01915b7fff</t>
  </si>
  <si>
    <t>[525203]</t>
  </si>
  <si>
    <t>["['Yelw-S', 'East-S', 'East-N']"]</t>
  </si>
  <si>
    <t>['צומת חולון-רצועת הנופש (BRT)', 'צומת בילו-צומת רעננה (רק"ל)', 'צומת רעננה-צומת בילו (רק"ל)']</t>
  </si>
  <si>
    <t>ירקונה/רמתיים, הוד השרון</t>
  </si>
  <si>
    <t>8a2db052e66ffff</t>
  </si>
  <si>
    <t>[515075, 516035]</t>
  </si>
  <si>
    <t>קלאוזנר/ירושלים, ראשון לציון</t>
  </si>
  <si>
    <t>8a2db018255ffff</t>
  </si>
  <si>
    <t>[511164, 400500, 511165]</t>
  </si>
  <si>
    <t>['Suburban Rail', 'BRT', 'LRT']</t>
  </si>
  <si>
    <t>רכבת פרברית, BRT, רק"ל</t>
  </si>
  <si>
    <t>["['LRT141']", "['LRT-L1', 'LRT142', 'LRT-L2']", "['rail_20_2', 'rail_17_2', 'rail_20_1', 'rail_17_1']"]</t>
  </si>
  <si>
    <t>['נתניה-כפ"ס דרך טייבה/קלאנסווה (BRT)', 'נתניה-אשדוד (רק"ל)', 'כפ"ס-נתניה דרך טייבה/קלאנסווה (רק"ל)', 'אשדוד-נתניה (רק"ל)', 'באר שבע-מודיעין (רכבת פרברית)', 'באר שבע-ראש העין (רכבת פרברית)', 'מודיעין-באר שבע (רכבת פרברית)', 'ראש העין-באר שבע (רכבת פרברית)']</t>
  </si>
  <si>
    <t>תחנת רכבת רעננה דרום</t>
  </si>
  <si>
    <t>8a2db0066057fff</t>
  </si>
  <si>
    <t>[30025, 984890]</t>
  </si>
  <si>
    <t>["['brt051', 'brt052']", "['rail_13_1', 'rail_13_2']"]</t>
  </si>
  <si>
    <t>['חדרה-באקה אל גרבייה (BRT)', 'באקה אל גרבייה-חדרה (BRT)', 'חריש-ירושלים (רכבת פרברית)', 'ירושלים-חריש (רכבת פרברית)']</t>
  </si>
  <si>
    <t>ברקאי/חריש</t>
  </si>
  <si>
    <t>8a2db0cc889ffff</t>
  </si>
  <si>
    <t>[525234, 512005]</t>
  </si>
  <si>
    <t>["['Yelw-S', 'Yelw-N']", "['Grn1-S', 'Grn1-N', 'Grn3-S']"]</t>
  </si>
  <si>
    <t>['צומת חולון-רצועת הנופש (BRT)', 'רצועת הנופש-צומת חולון (BRT)', 'עתידים-ראשל"צ (רק"ל)', 'ראשל"צ-עתידים (רק"ל)', 'אונ\' ת"א-חולון (רק"ל)']</t>
  </si>
  <si>
    <t>בכור שטרית/רוקח, תל אביב</t>
  </si>
  <si>
    <t>8a2db0cd021ffff</t>
  </si>
  <si>
    <t>[523003, 512030]</t>
  </si>
  <si>
    <t>["['Me03-L', 'Me03-R']", "['Grn1-S', 'Grn1-N', 'Grn3-S', 'Grn3-N']"]</t>
  </si>
  <si>
    <t>['הרצליה-בת ים (מטרו)', 'בת ים-הרצליה (מטרו)', 'עתידים-ראשל"צ (רק"ל)', 'ראשל"צ-עתידים (רק"ל)', 'אונ\' ת"א-חולון (רק"ל)', 'חולון-אונ\' ת"א (רק"ל)']</t>
  </si>
  <si>
    <t>HIT חולון</t>
  </si>
  <si>
    <t>8a2db620441ffff</t>
  </si>
  <si>
    <t>[500193, 512094]</t>
  </si>
  <si>
    <t>["['Orange_S', 'BRT_Pink_E', 'BRT_Pink_W', 'Orange_N']"]</t>
  </si>
  <si>
    <t>['אשדוד-אשקלון (כתום) (רק"ל)', 'אשקלון-קרית גת (ורוד) (BRT)', 'קרית גת-אשקלון (ורוד) (BRT)', 'אשקלון-אשדוד (כתום) (רק"ל)']</t>
  </si>
  <si>
    <t>8a2db050650ffff</t>
  </si>
  <si>
    <t>[525032, 521004, 525030]</t>
  </si>
  <si>
    <t>["['BluRT1', 'BluRT2']", "['Me1-2S', 'Me1-2N', 'Me1-1N', 'Me1-1S']"]</t>
  </si>
  <si>
    <t>['צומת בילו-צומת חולון (BRT)', 'צומת חולון-צומת בילו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</si>
  <si>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הרצל/רוטרי, רחובות</t>
  </si>
  <si>
    <t>8a2db001086ffff</t>
  </si>
  <si>
    <t>[511143]</t>
  </si>
  <si>
    <t>תחנת רכבת טייבה</t>
  </si>
  <si>
    <t>8a2db01ad02ffff</t>
  </si>
  <si>
    <t>[511221]</t>
  </si>
  <si>
    <t>["['LRT121', 'LRT122', 'LRT141', 'LRT142']"]</t>
  </si>
  <si>
    <t>['נתניה מערב-הרצליה (רק"ל)', 'הרצליה-נתניה מערב (רק"ל)', 'נתניה-כפ"ס דרך טייבה/קלאנסווה (BRT)', 'כפ"ס-נתניה דרך טייבה/קלאנסווה (רק"ל)']</t>
  </si>
  <si>
    <t>הגביש/טרומן, נתניה</t>
  </si>
  <si>
    <t>8a2db050e54ffff</t>
  </si>
  <si>
    <t>[400410, 521045]</t>
  </si>
  <si>
    <t>['Interurban Rail', 'Suburban Rail', 'BRT', 'LRT']</t>
  </si>
  <si>
    <t>רכבת בינעירונית, רכבת פרברית, BRT, רק"ל</t>
  </si>
  <si>
    <t>["['rail_3_2', 'rail_4_2', 'rail_17_2', 'rail_3_1', 'rail_4_1', 'Yelw-S', 'Yelw-N', 'East-N', 'rail_16_2', 'East-S', 'rail_16_1', 'rail_17_1']"]</t>
  </si>
  <si>
    <t>['באר שבע-נהריה (רכבת בינעירונית)', 'באר שבע-עכו (רכבת בינעירונית)', 'באר שבע-ראש העין (רכבת פרברית)', 'נהריה-באר שבע (רכבת בינעירונית)', 'עכו-באר שבע (רכבת בינעירונית)', 'צומת חולון-רצועת הנופש (BRT)', 'רצועת הנופש-צומת חולון (BRT)', 'צומת רעננה-צומת בילו (רק"ל)', 'בית שמש-הרצליה (רכבת פרברית)', 'צומת בילו-צומת רעננה (רק"ל)', 'הרצליה-בית שמש (רכבת פרברית)', 'ראש העין-באר שבע (רכבת פרברית)']</t>
  </si>
  <si>
    <t>תחנת רכבת רמלה</t>
  </si>
  <si>
    <t>8a2db05668d7fff</t>
  </si>
  <si>
    <t>[523025]</t>
  </si>
  <si>
    <t>לוי אשכול/וולך, קרית אונו</t>
  </si>
  <si>
    <t>8a2db62602f7fff</t>
  </si>
  <si>
    <t>[511086, 525478, 512270]</t>
  </si>
  <si>
    <t>["['RH-GY1']", "['L1-N', 'L2-N', 'L2-S', 'L1-S']", "['RedN', 'RedS']"]</t>
  </si>
  <si>
    <t>['רחובות-גן יבנה (דרך אשדוד) (BRT)', 'אשדוד-רחובות (דרך הנמל) (רק"ל)', 'אשדוד-יבנה (דרך הנמל) (רק"ל)', 'יבנה-אשדוד (דרך הנמל) (רק"ל)', 'רחובות-אשדוד (דרך הנמל) (רק"ל)', 'אשקלון-אשדוד (אדום) (רק"ל)', 'אשדוד-אשקלון (אדום) (רק"ל)']</t>
  </si>
  <si>
    <t>היהלומים/הבנאים, אשדוד</t>
  </si>
  <si>
    <t>8a2db0509d87fff</t>
  </si>
  <si>
    <t>[525088, 515070, 515078]</t>
  </si>
  <si>
    <t>["['East-S']", "['BRT2-1', 'BRT2-2', 'BRT1-1', 'BRT1-2']"]</t>
  </si>
  <si>
    <t>['צומת בילו-צומת רעננה (רק"ל)', 'אסף הרופא-אירפורט סיטי (BRT)', 'אירפורא סיטי-אסף הרופא (BRT)', 'תחנה מרכזית ראשל"צ-לוד (BRT)', 'לוד-תחנה מרכזית ראשל"צ (BRT)']</t>
  </si>
  <si>
    <t>אבא הלל סילבר/נדא, לוד</t>
  </si>
  <si>
    <t>8a2db00a5b67fff</t>
  </si>
  <si>
    <t>[511148]</t>
  </si>
  <si>
    <t>צומת צור נתן</t>
  </si>
  <si>
    <t>8a2db626145ffff</t>
  </si>
  <si>
    <t>[525481, 511046]</t>
  </si>
  <si>
    <t>["['RH-GY1']", "['L1-N', 'L2-N', 'L2-S', 'L1-S']"]</t>
  </si>
  <si>
    <t>['רחובות-גן יבנה (דרך אשדוד) (BRT)', 'אשדוד-רחובות (דרך הנמל) (רק"ל)', 'אשדוד-יבנה (דרך הנמל) (רק"ל)', 'יבנה-אשדוד (דרך הנמל) (רק"ל)', 'רחובות-אשדוד (דרך הנמל) (רק"ל)']</t>
  </si>
  <si>
    <t>צומת בני ברית</t>
  </si>
  <si>
    <t>8a2db0191117fff</t>
  </si>
  <si>
    <t>[521071]</t>
  </si>
  <si>
    <t>["['Me1-2S', 'Me1-2N', 'East-S', 'East-N']"]</t>
  </si>
  <si>
    <t>['כפר סבא-צומת בילו (דרך הוד השרון) (מטרו)', 'צומת בילו-כפר סבא (דרך הוד השרון) (מטרו)', 'צומת בילו-צומת רעננה (רק"ל)', 'צומת רעננה-צומת בילו (רק"ל)']</t>
  </si>
  <si>
    <t>מגדיאל/רמתיים, הוד השרון</t>
  </si>
  <si>
    <t>8a2db0cdb85ffff</t>
  </si>
  <si>
    <t>[523023]</t>
  </si>
  <si>
    <t>תל השומר, אונקולוגיה</t>
  </si>
  <si>
    <t>8a2db000676ffff</t>
  </si>
  <si>
    <t>[511139]</t>
  </si>
  <si>
    <t>צומת בארותיים</t>
  </si>
  <si>
    <t>8a2db052a82ffff</t>
  </si>
  <si>
    <t>[515008, 525559, 516039]</t>
  </si>
  <si>
    <t>['LRT', 'BRT', 'LRT']</t>
  </si>
  <si>
    <t>רק"ל, BRT, רק"ל</t>
  </si>
  <si>
    <t>["['ART1-2', 'ART2-1', 'BRT1-1', 'ART2-2', 'BRT1-2', 'ART1-1']", "['ART1-2', 'ART2-1', 'ART1-1', 'ART2-2']"]</t>
  </si>
  <si>
    <t>הנוריות, ראשון לציון</t>
  </si>
  <si>
    <t>8a2db6231c5ffff</t>
  </si>
  <si>
    <t>[500188, 512166]</t>
  </si>
  <si>
    <t>["['Orange_N', 'RedN', 'RedS', 'Orange_S']", "['BRT_Pink_E']"]</t>
  </si>
  <si>
    <t>['אשקלון-אשדוד (כתום) (רק"ל)', 'אשקלון-אשדוד (אדום) (רק"ל)', 'אשדוד-אשקלון (אדום) (רק"ל)', 'אשדוד-אשקלון (כתום) (רק"ל)', 'אשקלון-קרית גת (ורוד) (BRT)']</t>
  </si>
  <si>
    <t>8a2db0118777fff</t>
  </si>
  <si>
    <t>[511129]</t>
  </si>
  <si>
    <t>["['LRT132', 'LRT141', 'LRT142', 'LRT131']"]</t>
  </si>
  <si>
    <t>כביש 57/פנקס, נתניה</t>
  </si>
  <si>
    <t>8a2db01b3157fff</t>
  </si>
  <si>
    <t>[525313, 521034]</t>
  </si>
  <si>
    <t>בן גוריון/סוקולוב, הרצליה</t>
  </si>
  <si>
    <t>8a2db0cdb447fff</t>
  </si>
  <si>
    <t>[523010]</t>
  </si>
  <si>
    <t>צומת נווה סביון</t>
  </si>
  <si>
    <t>8a2db003164ffff</t>
  </si>
  <si>
    <t>[511138]</t>
  </si>
  <si>
    <t>צומת תנובות</t>
  </si>
  <si>
    <t>8a2db05614a7fff</t>
  </si>
  <si>
    <t>[525339, 522015]</t>
  </si>
  <si>
    <t>["['BBEld1']", "['Me02-E', 'Me02-W']"]</t>
  </si>
  <si>
    <t>['אלעד-פ"ת (BRT)', 'וולפסון-סגולה (מטרו)', 'סגולה-וולפסון (מטרו)']</t>
  </si>
  <si>
    <t>צומת סירקין</t>
  </si>
  <si>
    <t>8a2db6200177fff</t>
  </si>
  <si>
    <t>[512100, 500109]</t>
  </si>
  <si>
    <t>["['RedN', 'RedS']", "['BRT_Pink_E', 'BRT_Pink_W']"]</t>
  </si>
  <si>
    <t>['אשקלון-אשדוד (אדום) (רק"ל)', 'אשדוד-אשקלון (אדום) (רק"ל)', 'אשקלון-קרית גת (ורוד) (BRT)', 'קרית גת-אשקלון (ורוד) (BRT)']</t>
  </si>
  <si>
    <t>8a2db0576b87fff</t>
  </si>
  <si>
    <t>[524002, 400415]</t>
  </si>
  <si>
    <t>["['rail_2_1', 'rail_8_1', 'rail_14_2', 'rail_1_1', 'rail_14_1', 'rail_1_2', 'rail_10_1', 'rail_9_2', 'rail_10_2', 'rail_8_2', 'rail_9_1', 'rail_2_2']", "['East-S', 'East-N']"]</t>
  </si>
  <si>
    <t>['נהריה-אילת (רכבת מהירה)', 'חיפה-ירושלים (רכבת מהירה)', 'ירושלים-נתניה (רכבת פרברית)', 'קרית שמונה-מודיעין (רכבת בינעירונית)', 'נתניה-ירושלים (רכבת פרברית)', 'מודיעין-קרית שמונה (רכבת בינעירונית)', 'בית שאן-הרצליה (רכבת פרברית)', 'באר שבע-חיפה (רכבת מהירה)', 'הרצליה-בית שאן (רכבת פרברית)', 'ירושלים-חיפה (רכבת מהירה)', 'חיפה-באר שבע (רכבת מהירה)', 'אילת-נהריה (רכבת מהירה)', 'צומת בילו-צומת רעננה (רק"ל)', 'צומת רעננה-צומת בילו (רק"ל)']</t>
  </si>
  <si>
    <t>נמל התעופה בן גוריון</t>
  </si>
  <si>
    <t>8a2db050486ffff</t>
  </si>
  <si>
    <t>[525054, 521007]</t>
  </si>
  <si>
    <t>קניותר, נס ציונה</t>
  </si>
  <si>
    <t>8a2db01988effff</t>
  </si>
  <si>
    <t>[525290, 525063]</t>
  </si>
  <si>
    <t>["['Hz-KS1', 'Hz-KS2']", "['Me1-2S', 'Me1-2N', 'Me1-1N', 'Me1-1S']"]</t>
  </si>
  <si>
    <t>['כפר סבא-הרצליה (BRT)', 'הרצליה-כפר סבא (BRT)', 'כפר סבא-צומת בילו (דרך הוד השרון) (מטרו)', 'צומת בילו-כפר סבא (דרך הוד השרון) (מטרו)', 'צומת בילו-כפר סבא (דרך רעננה) (מטרו)', 'כפר סבא-צומת בילו (דרך רעננה) (מטרו)']</t>
  </si>
  <si>
    <t>הורוביץ/הפועל, כפר סבא</t>
  </si>
  <si>
    <t>8a2db018a967fff</t>
  </si>
  <si>
    <t>[511153]</t>
  </si>
  <si>
    <t>צומת רמת הכובש</t>
  </si>
  <si>
    <t>8a2db0190b87fff</t>
  </si>
  <si>
    <t>[521069]</t>
  </si>
  <si>
    <t>המחתרות, הוד השרון</t>
  </si>
  <si>
    <t>8a2db052a9affff</t>
  </si>
  <si>
    <t>[516037, 515013]</t>
  </si>
  <si>
    <t>קרית חינוך יצחק נבון, ראשון לציון</t>
  </si>
  <si>
    <t>8a2db051595ffff</t>
  </si>
  <si>
    <t>[521003, 525020]</t>
  </si>
  <si>
    <t>שדרות הקיבוצים/הרצל, רחובות</t>
  </si>
  <si>
    <t>8a2db05237a7fff</t>
  </si>
  <si>
    <t>[521008, 525056]</t>
  </si>
  <si>
    <t>["['Me1-2S', 'Me1-2N', 'Me1-1S', 'BluRT1', 'BluRT2', 'Me1-1N']"]</t>
  </si>
  <si>
    <t>['כפר סבא-צומת בילו (דרך הוד השרון) (מטרו)', 'צומת בילו-כפר סבא (דרך הוד השרון) (מטרו)', 'כפר סבא-צומת בילו (דרך רעננה) (מטרו)', 'צומת בילו-צומת חולון (BRT)', 'צומת חולון-צומת בילו (BRT)', 'צומת בילו-כפר סבא (דרך רעננה) (מטרו)']</t>
  </si>
  <si>
    <t>ויצמן/המאה ואחד, נס ציונה</t>
  </si>
  <si>
    <t>8a2db0194aa7fff</t>
  </si>
  <si>
    <t>[521067]</t>
  </si>
  <si>
    <t>תע"ש השרון - מערב</t>
  </si>
  <si>
    <t>8a2db0566d07fff</t>
  </si>
  <si>
    <t>[523024]</t>
  </si>
  <si>
    <t>שלמה המלך/נחל גמלא, קרית אונו</t>
  </si>
  <si>
    <t>8a2db052db0ffff</t>
  </si>
  <si>
    <t>[511270, 525087]</t>
  </si>
  <si>
    <t>["['LRT-L1', 'LRT-L2']", "['BluRT1', 'BluRT2']"]</t>
  </si>
  <si>
    <t>['נתניה-אשדוד (רק"ל)', 'אשדוד-נתניה (רק"ל)', 'צומת בילו-צומת חולון (BRT)', 'צומת חולון-צומת בילו (BRT)']</t>
  </si>
  <si>
    <t>מחלף השבעה</t>
  </si>
  <si>
    <t>8a2db052d537fff</t>
  </si>
  <si>
    <t>[525081, 512053]</t>
  </si>
  <si>
    <t>["['BluRT1', 'BluRT2']", "['Grn2-N']"]</t>
  </si>
  <si>
    <t>['צומת בילו-צומת חולון (BRT)', 'צומת חולון-צומת בילו (BRT)', 'חולון-הרצליה (רק"ל)']</t>
  </si>
  <si>
    <t>מכון וולקני/דרך המכבים, ראשון לציון</t>
  </si>
  <si>
    <t>8a2db0190207fff</t>
  </si>
  <si>
    <t>[521070]</t>
  </si>
  <si>
    <t>תיכון הדרים, הוד השרון</t>
  </si>
  <si>
    <t>8a2db01982effff</t>
  </si>
  <si>
    <t>[525090, 400254]</t>
  </si>
  <si>
    <t>["['Me1-2S', 'Me1-1S']", "['rail_13_2', 'rail_15_2', 'rail_10_1', 'rail_10_2', 'rail_15_1', 'rail_13_1']"]</t>
  </si>
  <si>
    <t>['כפר סבא-צומת בילו (דרך הוד השרון) (מטרו)', 'כפר סבא-צומת בילו (דרך רעננה) (מטרו)', 'ירושלים-חריש (רכבת פרברית)', 'שוקת-חדרה (רכבת פרברית)', 'בית שאן-הרצליה (רכבת פרברית)', 'הרצליה-בית שאן (רכבת פרברית)', 'חדרה-שוקת (רכבת פרברית)', 'חריש-ירושלים (רכבת פרברית)']</t>
  </si>
  <si>
    <t>אזור תעסוקה בנימין</t>
  </si>
  <si>
    <t>Line_Names_forPlot</t>
  </si>
  <si>
    <t>ירוק מקווקוו 1 כיוון 2 (רק"ל), ירוק מקווקוו 2 כיוון 2 (רק"ל), ירוק מקווקוו 2 כיוון 1 (רק"ל), ירוק מקווקוו 1 כיוון 1 (רק"ל), חיפה-ירושלים (רכבת מהירה), באר שבע-ירושלים (רכבת בינעירונית), ירושלים-באר שבע (רכבת בינעירונית), ירושלים-נתניה (רכבת פרברית), נתניה-ירושלים (רכבת פרברית), ירושלים-מודיעין (רכבת פרברית), ירושלים-חריש (רכבת פרברית), מודיעין-ירושלים (רכבת פרברית), ירושלים-חיפה (רכבת מהירה), חריש-ירושלים (רכבת פרברית), אדום כיוון 1 (רק"ל), LRT52, אדום מקווקו כיוון 1 (רק"ל), LRT51, אדום מקווקו כיוון 2 (רק"ל), אדום כיוון 2 (רק"ל)</t>
  </si>
  <si>
    <t>מרכזית המפרץ-נצרת (רק"ל), מרכזית הקריות-חוף הכרמל (דרך 22) (רק"ל), חוף הכרמל-מרכזית הקריות (דרך 22) (רק"ל), חוף הכרמל-נצרת (רק"ל), נצרת-חוף הכרמל (רק"ל), לב המפרץ-אוניברסיטת חיפה (רכבל), מרכזית הקריות - בת גלים (BRT), מרכז הכרמל-גילעם (דרך המנהרות) (BRT), מרכזית חוף הכרמל-מרכזית הקריות (דרך המנהרות) (BRT), מרכזית הקריות-הדר (דרך קרית ים) (BRT), הדר-מרכזית הקריות (דרך קרית ים) (BRT), בת גלים - מרכזית הקריות (BRT), מרכזית הקריות-מרכזית חוף הכרמל (דרך המנהרות) (BRT), גילעם-מרכז הכרמל (דרך המנהרות) (BRT), מרכזית המפרץ-עכו (BRT), עכו-מרכזית המפרץ (BRT), נהריה-אילת (רכבת מהירה), חיפה-ירושלים (רכבת מהירה), 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מודיעין-קרית שמונה (רכבת בינעירונית), באר שבע-חיפה (רכבת מהירה), ירושלים-חיפה (רכבת מהירה), חיפה-באר שבע (רכבת מהירה), אשקלון-כרמיאל (רכבת בינעירונית), אילת-נהריה (רכבת מהירה), כרמיאל-אשקלון (רכבת בינעירונית), הרצליה-בית שאן (רכבת פרברית), טבריה-עתלית (רכבת פרברית), עתלית-טבריה (רכבת פרברית), בית שאן-הרצליה (רכבת פרברית)</t>
  </si>
  <si>
    <t>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פ"ת-ת"א (רק"ל), ראשל"צ-פ"ת (קרית אריה) (רק"ל), פ"ת-ראשל"צ (רק"ל), ת"א-פ"ת (רק"ל), פ"ת (קרית אריה)-ראשל"צ (רק"ל), ראשל"צ-פ"ת (רק"ל), כפר סבא-צומת בילו (דרך הוד השרון) (מטרו), צומת בילו-כפר סבא (דרך הוד השרון) (מטרו), צומת בילו-כפר סבא (דרך רעננה) (מטרו), כפר סבא-צומת בילו (דרך רעננה) (מטרו), בר אילן-סבידור (רק"ל), יהוד-סבידור (רק"ל)</t>
  </si>
  <si>
    <t>ירושלים-באר שבע (רכבת בינעירונית), באר שבע-נהריה (רכבת בינעירונית), באר שבע-ירושלים (רכבת בינעירונית), באר שבע-עכו (רכבת בינעירונית), ערד-באר שבע (רכבת פרברית), באר שבע-ראש העין (רכבת פרברית), נהריה-באר שבע (רכבת בינעירונית), עכו-באר שבע (רכבת בינעירונית), באר שבע-מודיעין (רכבת פרברית), מודיעין-באר שבע (רכבת פרברית), באר  שבע-ירוחם (רכבת פרברית), ירוחם-באר שבע (רכבת פרברית), ראש העין-באר שבע (רכבת פרברית), באר שבע-ערד (רכבת פרברית), צומת שוקת-מרכז רפואי באר שבע (רק"ל), אופקים-תל שבע (רק"ל), תל שבע-אופקים (רק"ל), מרכז רפואי באר שבע-צומת שוקת (רק"ל)</t>
  </si>
  <si>
    <t>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עתלית-טבריה (רכבת פרברית), חוף הכרמל-נצרת (רק"ל), מודיעין-קרית שמונה (רכבת בינעירונית), בית שאן-הרצליה (רכבת פרברית), הרצליה-בית שאן (רכבת פרברית), טבריה-עתלית (רכבת פרברית), מרכזית הקריות-חוף הכרמל (דרך 22) (רק"ל), כרמיאל-חיפה (רכבת פרברית), חיפה-כרמיאל (רכבת פרברית), חוף הכרמל-מרכזית הקריות (דרך 22) (רק"ל), אשקלון-כרמיאל (רכבת בינעירונית), כרמיאל-אשקלון (רכבת בינעירונית), נצרת-חוף הכרמל (רק"ל), מרכזית הקריות - בת גלים (BRT), בת גלים-יגור/רכסים (BRT), בת גלים - מרכזית הקריות (BRT), הטכניון-בת גלים (דרך העצמאות) (BRT), יגור/רכסים-בת גלים (BRT), בת גלים-הטכניון (דרך העצמאות) (BRT)</t>
  </si>
  <si>
    <t>חיפה-ירושלים (רכבת מהירה), עכו-באר שבע (רכבת בינעירונית), עתלית-טבריה (רכבת פרברית), מרכזית המפרץ-מרכזית חוף הכרמל (דרך חורב) (BRT), מודיעין-קרית שמונה (רכבת בינעירונית), באר שבע-חיפה (רכבת מהירה), חיפה-באר שבע (רכבת מהירה), אשקלון-כרמיאל (רכבת בינעירונית), אילת-נהריה (רכבת מהירה), כרמיאל-אשקלון (רכבת בינעירונית), חוף הכרמל-נצרת (רק"ל), הרצליה-בית שאן (רכבת פרברית), טבריה-עתלית (רכבת פרברית), מרכזית הקריות-מרכזית חוף הכרמל (דרך המנהרות) (BRT), חוף הכרמל-מרכזית הקריות (דרך 22) (רק"ל), קרית שמונה-מודיעין (רכבת בינעירונית), מרכזית חוף הכרמל-מרכזית המפרץ (דרך חורב) (BRT), בית שאן-הרצליה (רכבת פרברית), חיפה-כרמיאל (רכבת פרברית), כרמיאל-חיפה (רכבת פרברית), מרכזית חוף הכרמל-מרכזית הקריות (דרך המנהרות) (BRT), נהריה-אילת (רכבת מהירה), באר שבע-נהריה (רכבת בינעירונית), באר שבע-עכו (רכבת בינעירונית), נהריה-באר שבע (רכבת בינעירונית), ירושלים-חיפה (רכבת מהירה)</t>
  </si>
  <si>
    <t>ירושלים-נתניה (רכבת פרברית), נתניה-ירושלים (רכבת פרברית), ירושלים-מודיעין (רכבת פרברית), ירושלים-חריש (רכבת פרברית), מודיעין-ירושלים (רכבת פרברית), חריש-ירושלים (רכבת פרברית), כחול כיוון 1 (רק"ל), תכלת כיוון 1 (רק"ל), תכלת כיוון 2 (רק"ל), כחול כיוון 2 (רק"ל)</t>
  </si>
  <si>
    <t>נתניה-אשדוד (רק"ל), נתניה-כפ"ס דרך טייבה/קלאנסווה (BRT)</t>
  </si>
  <si>
    <t>מרכזית הקריות - בת גלים (BRT), מרכזית חוף הכרמל-מרכזית הקריות (דרך המנהרות) (BRT), גילעם-מרכזית הקריות (דרך גבעת טל ואח"י אילת) (BRT), מרכזית הקריות-הדר (דרך קרית ים) (BRT), הדר-מרכזית הקריות (דרך קרית ים) (BRT), בת גלים - מרכזית הקריות (BRT), מרכזית הקריות-גילעם (דרך בן גוריון) (BRT), מרכזית הקריות-מרכזית חוף הכרמל (דרך המנהרות) (BRT), גילעם-מרכזית הקריות (דרך הקריון) (BRT), מרכזית הקריות-גילעם (דרך גבעת טל ואח"י אילת) (BRT), מרכזית הקריות-גילעם (דרך הקריון) (BRT), גילעם-מרכזית הקריות (דרך בן גוריון) (BRT), מרכזית הקריות-חוף הכרמל (דרך 22) (רק"ל)</t>
  </si>
  <si>
    <t>הרצליה-בת ים (מטרו), כפר סבא-צומת בילו (דרך הוד השרון) (מטרו), בת ים-הרצליה (מטרו), צומת בילו-כפר סבא (דרך הוד השרון) (מטרו), כפר סבא-צומת בילו (דרך רעננה) (מטרו), צומת בילו-כפר סבא (דרך רעננה) (מטרו), חיפה-ירושלים (רכבת מהירה), באר שבע-מודיעין (רכבת פרברית), עכו-באר שבע (רכבת בינעירונית), מודיעין-קרית שמונה (רכבת בינעירונית), באר שבע-חיפה (רכבת מהירה), חיפה-באר שבע (רכבת מהירה), אשקלון-כרמיאל (רכבת בינעירונית), אילת-נהריה (רכבת מהירה),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נהריה-אילת (רכבת מהירה),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ירושלים-חיפה (רכבת מהירה)</t>
  </si>
  <si>
    <t>נתניה-כפ"ס דרך טייבה/קלאנסווה (BRT), כפ"ס-נתניה דרך טייבה/קלאנסווה (רק"ל)</t>
  </si>
  <si>
    <t>חיפה-ירושלים (רכבת מהירה), באר שבע-מודיעין (רכבת פרברית), באר שבע-חיפה (רכבת מהירה), חיפה-באר שבע (רכבת מהירה), אילת-נהריה (רכבת מהירה),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נהריה-אילת (רכבת מהירה), ירושלים-נתניה (רכבת פרברית), נתניה-ירושלים (רכבת פרברית), בית שמש-הרצליה (רכבת פרברית), ירושלים-חיפה (רכבת מהירה), כפר סבא-צומת בילו (דרך הוד השרון) (מטרו), צומת בילו-כפר סבא (דרך הוד השרון) (מטרו), צומת בילו-כפר סבא (דרך רעננה) (מטרו), כפר סבא-צומת בילו (דרך רעננה) (מטרו), וולפסון-סגולה (מטרו), סגולה-וולפסון (מטרו)</t>
  </si>
  <si>
    <t>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עתלית-טבריה (רכבת פרברית), מודיעין-קרית שמונה (רכבת בינעירונית), בית שאן-הרצליה (רכבת פרברית), הרצליה-בית שאן (רכבת פרברית), טבריה-עתלית (רכבת פרברית), כרמיאל-חיפה (רכבת פרברית), חיפה-כרמיאל (רכבת פרברית), אשקלון-כרמיאל (רכבת בינעירונית), כרמיאל-אשקלון (רכבת בינעירונית), מרכזית הקריות-חוף הכרמל (דרך 22) (רק"ל), חוף הכרמל-נצרת (רק"ל), חוף הכרמל-מרכזית הקריות (דרך 22) (רק"ל), נצרת-חוף הכרמל (רק"ל), מרכזית הקריות - בת גלים (BRT), נאות כרמל-מרכזית המפרץ (דרך ההגנה) (BRT), בת גלים-יגור/רכסים (BRT), בת גלים - מרכזית הקריות (BRT), הטכניון-בת גלים (דרך העצמאות) (BRT), מרכזית המפרץ-טירת כרמל (דרך ההגנה) (BRT), יגור/רכסים-בת גלים (BRT), בת גלים-הטכניון (דרך העצמאות) (BRT), טירת כרמל-מרכזית המפרץ (דרך ההגנה) (BRT), מרכזית המפרץ-נאות כרמל (דרך ההגנה) (BRT)</t>
  </si>
  <si>
    <t>צומת שוקת-מרכז רפואי באר שבע (רק"ל), ערד-באר שבע מערב (רק"ל), באר שבע מערב-ערד (רק"ל), מרכז רפואי באר שבע-צומת שוקת (רק"ל), נהריה-אילת (רכבת מהירה), באר שבע-נהריה (רכבת בינעירונית), ירושלים-באר שבע (רכבת בינעירונית), באר שבע-עכו (רכבת בינעירונית), באר שבע-ירושלים (רכבת בינעירונית), באר שבע-ראש העין (רכבת פרברית), נהריה-באר שבע (רכבת בינעירונית), עכו-באר שבע (רכבת בינעירונית), באר שבע-מודיעין (רכבת פרברית), מודיעין-באר שבע (רכבת פרברית), באר שבע-חיפה (רכבת מהירה), חיפה-באר שבע (רכבת מהירה), אילת-נהריה (רכבת מהירה), ראש העין-באר שבע (רכבת פרברית)</t>
  </si>
  <si>
    <t>s0110a, מרכזית הקריות - בת גלים (BRT), נאות כרמל-מרכזית המפרץ (דרך ההגנה) (BRT), בת גלים-יגור/רכסים (BRT), בת גלים - מרכזית הקריות (BRT), הטכניון-בת גלים (דרך העצמאות) (BRT), מרכזית המפרץ-טירת כרמל (דרך ההגנה) (BRT), יגור/רכסים-בת גלים (BRT), בת גלים-הטכניון (דרך העצמאות) (BRT), טירת כרמל-מרכזית המפרץ (דרך ההגנה) (BRT), מרכזית המפרץ-נאות כרמל (דרך ההגנה) (BRT)</t>
  </si>
  <si>
    <t>חיפה-ירושלים (רכבת מהירה), באר שבע-ירושלים (רכבת בינעירונית), ירושלים-באר שבע (רכבת בינעירונית), ירושלים-נתניה (רכבת פרברית), כחול כיוון 2 (רק"ל), נתניה-ירושלים (רכבת פרברית), תכלת כיוון 2 (רק"ל), ירושלים-מודיעין (רכבת פרברית), ירושלים-חריש (רכבת פרברית), מודיעין-ירושלים (רכבת פרברית), כחול כיוון 1 (רק"ל), ירושלים-חיפה (רכבת מהירה), תכלת כיוון 1 (רק"ל), חריש-ירושלים (רכבת פרברית), אדום כיוון 1 (רק"ל), ירוק מקווקוו 1 כיוון 2 (רק"ל), אדום כיוון 2 (רק"ל), ירוק מקווקוו 1 כיוון 1 (רק"ל)</t>
  </si>
  <si>
    <t>באר שבע-מודיעין (רכבת פרברית), שוקת-זיכרון יעקב (רכבת פרברית), זיכרון יעקב-שוקת (רכבת פרברית), מודיעין-באר שבע (רכבת פרברית), כפר סבא-צומת בילו (דרך הוד השרון) (מטרו), צומת בילו-כפר סבא (דרך הוד השרון) (מטרו), צומת בילו-כפר סבא (דרך רעננה) (מטרו), כפר סבא-צומת בילו (דרך רעננה) (מטרו), עתידים-ראשל"צ (רק"ל), הרצליה-חולון (רק"ל), חולון-הרצליה (רק"ל), חולון-אונ\' ת"א (רק"ל), אונ\' ת"א-חולון (רק"ל), ראשל"צ-עתידים (רק"ל)</t>
  </si>
  <si>
    <t>פ"ת-ת"א (רק"ל), ראשל"צ-פ"ת (קרית אריה) (רק"ל), פ"ת-ראשל"צ (רק"ל), ת"א-פ"ת (רק"ל), פ"ת (קרית אריה)-ראשל"צ (רק"ל), ראשל"צ-פ"ת (רק"ל), עתידים-ראשל"צ (רק"ל), הרצליה-חולון (רק"ל), חולון-הרצליה (רק"ל), חולון-אונ\' ת"א (רק"ל), אונ\' ת"א-חולון (רק"ל), ראשל"צ-עתידים (רק"ל), וולפסון-סגולה (מטרו), סגולה-וולפסון (מטרו)</t>
  </si>
  <si>
    <t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(רק"ל), נתניה-אשדוד (רק"ל), אשדוד-נתניה (רק"ל)</t>
  </si>
  <si>
    <t>נהריה-אילת (רכבת מהירה), באר שבע-נהריה (רכבת בינעירונית), באר שבע-עכו (רכבת בינעירונית), נהריה-באר שבע (רכבת בינעירונית), עכו-באר שבע (רכבת בינעירונית), אילת-נהריה (רכבת מהירה)</t>
  </si>
  <si>
    <t>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עתידים-ראשל"צ (רק"ל), ראשל"צ-עתידים (רק"ל), אונ\' ת"א-חולון (רק"ל), חולון-אונ\' ת"א (רק"ל)</t>
  </si>
  <si>
    <t>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יהוד-סבידור (רק"ל), סבידור-בר אילן (רק"ל), בר אילן-סבידור (רק"ל), סבידור-יהוד (רק"ל), אלנבי-יהוד (רק"ל), יהוד-אלנבי (רק"ל), כפר סבא-צומת בילו (דרך הוד השרון) (מטרו), צומת בילו-כפר סבא (דרך הוד השרון) (מטרו), צומת בילו-כפר סבא (דרך רעננה) (מטרו), כפר סבא-צומת בילו (דרך רעננה) (מטרו)</t>
  </si>
  <si>
    <t>צומת חולון-רצועת הנופש (BRT), רצועת הנופש-צומת חולון (BRT), פ"ת-ת"א (רק"ל), ראשל"צ-פ"ת (קרית אריה) (רק"ל), פ"ת-ראשל"צ (רק"ל), ת"א-פ"ת (רק"ל), פ"ת (קרית אריה)-ראשל"צ (רק"ל), ראשל"צ-פ"ת (רק"ל)</t>
  </si>
  <si>
    <t>מרכזית הקריות - בת גלים (BRT), מרכז הכרמל-גילעם (דרך המנהרות) (BRT), מרכזית חוף הכרמל-מרכזית הקריות (דרך המנהרות) (BRT), מרכזית הקריות-הדר (דרך קרית ים) (BRT), הדר-מרכזית הקריות (דרך קרית ים) (BRT), בת גלים - מרכזית הקריות (BRT), מרכזית המפרץ-נצרת (רק"ל), מרכזית הקריות-חוף הכרמל (דרך 22) (רק"ל), מרכזית הקריות-מרכזית חוף הכרמל (דרך המנהרות) (BRT), גילעם-מרכז הכרמל (דרך המנהרות) (BRT), מרכזית המפרץ-עכו (BRT), חוף הכרמל-מרכזית הקריות (דרך 22) (רק"ל), נצרת-מרכזית המפרץ (רק"ל), עכו-מרכזית המפרץ (BRT), חוף הכרמל-נצרת (רק"ל), נצרת-חוף הכרמל (רק"ל)</t>
  </si>
  <si>
    <t>מרכזית המפרץ-נצרת (רק"ל), נצרת-אחיהוד (רק"ל), נצרת-מרכזית המפרץ (רק"ל), חוף הכרמל-נצרת (רק"ל), אחיהוד-נצרת (רק"ל), נצרת-חוף הכרמל (רק"ל), מרכזית הקריות-גילעם (דרך בן גוריון) (BRT), גילעם-דיר חנא (BRT), גילעם-מרכזית הקריות (דרך בן גוריון) (BRT)</t>
  </si>
  <si>
    <t>נהריה-אילת (רכבת מהירה), באר שבע-נהריה (רכבת בינעירונית), באר שבע-עכו (רכבת בינעירונית), קרית שמונה-מודיעין (רכבת בינעירונית), נהריה-באר שבע (רכבת בינעירונית), עכו-באר שבע (רכבת בינעירונית), מודיעין-קרית שמונה (רכבת בינעירונית), אשקלון-כרמיאל (רכבת בינעירונית), אילת-נהריה (רכבת מהירה), כרמיאל-אשקלון (רכבת בינעירונית)</t>
  </si>
  <si>
    <t>נהריה-באר שבע (רכבת בינעירונית), נהריה-אילת (רכבת מהירה), באר שבע-נהריה (רכבת בינעירונית), אילת-נהריה (רכבת מהירה)</t>
  </si>
  <si>
    <t>ירושלים-באר שבע (רכבת בינעירונית), באר שבע-נהריה (רכבת בינעירונית), באר שבע-ירושלים (רכבת בינעירונית), באר שבע-עכו (רכבת בינעירונית), באר שבע-ראש העין (רכבת פרברית), נהריה-באר שבע (רכבת בינעירונית), עכו-באר שבע (רכבת בינעירונית), שוקת-חדרה (רכבת פרברית), אשקלון-קרית גת (ורוד) (BRT), אשקלון-קרית גת (כחול) (BRT), קרית גת-אשקלון (ורוד) (BRT), חדרה-שוקת (רכבת פרברית), קרית גת-אשקלון (כחול) (BRT), ראש העין-באר שבע (רכבת פרברית)</t>
  </si>
  <si>
    <t>נתניה-כפ"ס דרך טייבה/קלאנסווה (BRT), כפ"ס-נתניה דרך טייבה/קלאנסווה (רק"ל), כפר סבא-צומת בילו (דרך הוד השרון) (מטרו), צומת בילו-כפר סבא (דרך הוד השרון) (מטרו), צומת בילו-צומת רעננה (רק"ל), כפר סבא-צומת בילו (דרך רעננה) (מטרו), צומת בילו-כפר סבא (דרך רעננה) (מטרו)</t>
  </si>
  <si>
    <t>צומת בילו-כפר סבא (דרך הוד השרון) (מטרו), צומת בילו-כפר סבא (דרך רעננה) (מטרו), צומת רעננה-צומת בילו (רק"ל), רחובות-גן יבנה (דרך אשדוד) (BRT)</t>
  </si>
  <si>
    <t>דיר חנא-גילעם (BRT), גילעם-דיר חנא (BRT), נצרת-אחיהוד (רק"ל), אחיהוד-נצרת (רק"ל)</t>
  </si>
  <si>
    <t>עתידים-ראשל"צ (רק"ל), הרצליה-חולון (רק"ל), חולון-הרצליה (רק"ל), חולון-אונ\' ת"א (רק"ל), אונ\' ת"א-חולון (רק"ל), צומת חולון-צומת בילו (BRT), ראשל"צ-עתידים (רק"ל)</t>
  </si>
  <si>
    <t>4.4_BeerSheva-Rahat_Main, ירושלים-באר שבע (רכבת בינעירונית), באר שבע-נהריה (רכבת בינעירונית), באר שבע-ירושלים (רכבת בינעירונית), באר שבע-עכו (רכבת בינעירונית), 4.4_Rahat-BeerSheva_Main, נהריה-באר שבע (רכבת בינעירונית), עכו-באר שבע (רכבת בינעירונית)</t>
  </si>
  <si>
    <t>יהוד-סבידור (רק"ל), סבידור-בר אילן (רק"ל), וולפסון-סגולה (מטרו), בר אילן-סבידור (רק"ל), סבידור-יהוד (רק"ל), סגולה-וולפסון (מטרו), יהוד-אלנבי (רק"ל)</t>
  </si>
  <si>
    <t>יבנה מזרח-רחובות (רק"ל), רחובות-יבנה מזרח (רק"ל), יבנה מערב-רחובות (רק"ל), אשקלון-זיכרון יעקב (רכבת פרברית), אשדוד-מודיעין (רכבת פרברית), זיכרון יעקב-אשקלון (רכבת פרברית), אשקלון-כרמיאל (רכבת בינעירונית), כרמיאל-אשקלון (רכבת בינעירונית), מודיעין-אשדוד (רכבת פרברית), צומת בילו-צומת חולון (BRT), צומת חולון-צומת בילו (BRT), כפר סבא-צומת בילו (דרך הוד השרון) (מטרו), צומת בילו-כפר סבא (דרך הוד השרון) (מטרו), צומת בילו-כפר סבא (דרך רעננה) (מטרו), כפר סבא-צומת בילו (דרך רעננה) (מטרו), רחובות-אשדוד (דרך הנמל) (רק"ל)</t>
  </si>
  <si>
    <t>באר שבע-מודיעין (רכבת פרברית), פ"ת-ת"א (רק"ל), מודיעין-באר שבע (רכבת פרברית), פ"ת (קרית אריה)-ראשל"צ (רק"ל), הרצליה-בת ים (מטרו), צומת בילו-צומת רעננה (רק"ל), צומת רעננה-צומת בילו (רק"ל), בת ים-הרצליה (מטרו)</t>
  </si>
  <si>
    <t>אשקלון-זיכרון יעקב (רכבת פרברית), שוקת-זיכרון יעקב (רכבת פרברית), באר שבע-מודיעין (רכבת פרברית), מודיעין-באר שבע (רכבת פרברית), אשדוד-מודיעין (רכבת פרברית), אשדוד-יבנה (דרך הנמל) (רק"ל), זיכרון יעקב-שוקת (רכבת פרברית), זיכרון יעקב-אשקלון (רכבת פרברית), אשקלון-כרמיאל (רכבת בינעירונית), כרמיאל-אשקלון (רכבת בינעירונית), מודיעין-אשדוד (רכבת פרברית), אשקלון-אשדוד (כתום) (רק"ל), אשקלון-אשדוד (אדום) (רק"ל), אשדוד-אשקלון (אדום) (רק"ל), אשדוד-אשקלון (כתום) (רק"ל), אשדוד-רחובות (דרך הנמל) (רק"ל)</t>
  </si>
  <si>
    <t>צומת בילו-כפר סבא (דרך רעננה) (מטרו), כפר סבא-צומת בילו (דרך רעננה) (מטרו), כפר סבא-הרצליה (BRT), הרצליה-כפר סבא (BRT)</t>
  </si>
  <si>
    <t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(רק"ל), כפר סבא-צומת בילו (דרך הוד השרון) (מטרו), צומת בילו-כפר סבא (דרך הוד השרון) (מטרו), צומת בילו-כפר סבא (דרך רעננה) (מטרו), כפר סבא-צומת בילו (דרך רעננה) (מטרו), צומת בילו-צומת חולון (BRT), צומת חולון-צומת בילו (BRT)</t>
  </si>
  <si>
    <t>שוקת-זיכרון יעקב (רכבת פרברית), באר שבע-מודיעין (רכבת פרברית), וולפסון-סגולה (מטרו), מודיעין-באר שבע (רכבת פרברית), זיכרון יעקב-שוקת (רכבת פרברית), סגולה-וולפסון (מטרו)</t>
  </si>
  <si>
    <t>אור עקיבא-חדרה (BRT), חדרה-אור עקיבא (BRT), זיכרון יעקב-אשקלון (רכבת פרברית), שוקת-זיכרון יעקב (רכבת פרברית), זיכרון יעקב-שוקת (רכבת פרברית), אשקלון-זיכרון יעקב (רכבת פרברית)</t>
  </si>
  <si>
    <t>אחיהוד-נצרת (רק"ל), קרית שמונה-מודיעין (רכבת בינעירונית), מודיעין-קרית שמונה (רכבת בינעירונית), חיפה-כרמיאל (רכבת פרברית), אשקלון-כרמיאל (רכבת בינעירונית), כרמיאל-חיפה (רכבת פרברית), כרמיאל-אשקלון (רכבת בינעירונית)</t>
  </si>
  <si>
    <t>באר שבע-מודיעין (רכבת פרברית), מודיעין-באר שבע (רכבת פרברית), צומת בילו-צומת חולון (BRT), צומת חולון-צומת בילו (BRT), כפר סבא-צומת בילו (דרך הוד השרון) (מטרו), צומת בילו-כפר סבא (דרך הוד השרון) (מטרו), צומת בילו-כפר סבא (דרך רעננה) (מטרו), כפר סבא-צומת בילו (דרך רעננה) (מטרו)</t>
  </si>
  <si>
    <t>עתלית-טבריה (רכבת פרברית), בית שאן-הרצליה (רכבת פרברית), הרצליה-בית שאן (רכבת פרברית), טבריה-עתלית (רכבת פרברית), עפולה-נצרת (BRT)</t>
  </si>
  <si>
    <t>הרצליה-נתניה מזרח (רק"ל), נתניה מערב-הרצליה (רק"ל), הרצליה-נתניה מערב (רק"ל), נתניה מזרח-הרצליה (רק"ל), באר שבע-מודיעין (רכבת פרברית), עכו-באר שבע (רכבת בינעירונית), מודיעין-קרית שמונה (רכבת בינעירונית), אשקלון-כרמיאל (רכבת בינעירונית), כרמיאל-אשקלון (רכבת בינעירונית), מודיעין-באר שבע (רכבת פרברית), הרצליה-בית שאן (רכבת פרברית), אשקלון-זיכרון יעקב (רכבת פרברית), שוקת-זיכרון יעקב (רכבת פרברית), באר שבע-ראש העין (רכבת פרברית), קרית שמונה-מודיעין (רכבת בינעירונית), בית שאן-הרצליה (רכבת פרברית), זיכרון יעקב-שוקת (רכבת פרברית), הרצליה-בית שמש (רכבת פרברית), זיכרון יעקב-אשקלון (רכבת פרברית), ראש העין-באר שבע (רכבת פרברית), באר שבע-נהריה (רכבת בינעירונית), ירושלים-נתניה (רכבת פרברית), באר שבע-עכו (רכבת בינעירונית), נהריה-באר שבע (רכבת בינעירונית), נתניה-ירושלים (רכבת פרברית), בית שמש-הרצליה (רכבת פרברית), כפר סבא-הרצליה (BRT), הרצליה-כפר סבא (BRT)</t>
  </si>
  <si>
    <t>הרצליה-בת ים (מטרו), בת ים-הרצליה (מטרו), באר שבע-מודיעין (רכבת פרברית), שוקת-זיכרון יעקב (רכבת פרברית), זיכרון יעקב-שוקת (רכבת פרברית), מודיעין-באר שבע (רכבת פרברית), כפר סבא-צומת בילו (דרך הוד השרון) (מטרו), צומת בילו-כפר סבא (דרך הוד השרון) (מטרו), צומת בילו-כפר סבא (דרך רעננה) (מטרו), כפר סבא-צומת בילו (דרך רעננה) (מטרו)</t>
  </si>
  <si>
    <t>חדרה-באקה אל גרבייה (BRT), חדרה-אור עקיבא (BRT), אשקלון-זיכרון יעקב (רכבת פרברית), שוקת-זיכרון יעקב (רכבת פרברית), קרית שמונה-מודיעין (רכבת בינעירונית), מודיעין-קרית שמונה (רכבת בינעירונית), זיכרון יעקב-שוקת (רכבת פרברית), זיכרון יעקב-אשקלון (רכבת פרברית)</t>
  </si>
  <si>
    <t>אסף הרופא-מתחם ה-1000 (רק"ל), חוף ראשל"צ-אסף הרופא (רק"ל), תחנה מרכזית ראשל"צ-לוד (BRT), אסף הרופא-חוף ראשל"צ (רק"ל), לוד-תחנה מרכזית ראשל"צ (BRT), מתחם ה-1000-אסף הרופא (רק"ל)</t>
  </si>
  <si>
    <t>אשקלון-זיכרון יעקב (רכבת פרברית), באר שבע-נהריה (רכבת בינעירונית), ירושלים-נתניה (רכבת פרברית), באר שבע-עכו (רכבת בינעירונית), שוקת-זיכרון יעקב (רכבת פרברית), קרית שמונה-מודיעין (רכבת בינעירונית), נהריה-באר שבע (רכבת בינעירונית), עכו-באר שבע (רכבת בינעירונית), נתניה-ירושלים (רכבת פרברית), מודיעין-קרית שמונה (רכבת בינעירונית), זיכרון יעקב-שוקת (רכבת פרברית), זיכרון יעקב-אשקלון (רכבת פרברית), אשקלון-כרמיאל (רכבת בינעירונית), כרמיאל-אשקלון (רכבת בינעירונית), הרצליה-נתניה מזרח (רק"ל), נתניה מזרח-הרצליה (רק"ל)</t>
  </si>
  <si>
    <t>יבנה מזרח-רחובות (רק"ל), רחובות-יבנה מזרח (רק"ל), יבנה מערב-רחובות (רק"ל), אשקלון-זיכרון יעקב (רכבת פרברית), אשדוד-מודיעין (רכבת פרברית), זיכרון יעקב-אשקלון (רכבת פרברית), אשקלון-כרמיאל (רכבת בינעירונית), כרמיאל-אשקלון (רכבת בינעירונית), מודיעין-אשדוד (רכבת פרברית), אשדוד-יבנה (דרך הנמל) (רק"ל), יבנה-אשדוד (דרך הנמל) (רק"ל)</t>
  </si>
  <si>
    <t>ר"ג-כפר קאסם (BRT), ראש העין-רמת גן (BRT), ראש העין-רמת גן (BRT), כפר קאסם-ר"ג (BRT), הרצליה-בת ים (מטרו), צומת בילו-צומת רעננה (רק"ל), צומת רעננה-צומת בילו (רק"ל), בת ים-הרצליה (מטרו)</t>
  </si>
  <si>
    <t>רצועת הנופש-צומת חולון (BRT), אשקלון-כרמיאל (רכבת בינעירונית), כרמיאל-אשקלון (רכבת בינעירונית), תחנה מרכזית ראשל"צ-לוד (BRT)</t>
  </si>
  <si>
    <t>צומת חולון-רצועת הנופש (BRT), צומת רעננה-צומת בילו (רק"ל), רצועת הנופש-צומת חולון (BRT), צומת בילו-צומת רעננה (רק"ל), אסף הרופא-אירפורט סיטי (BRT), אירפורא סיטי-אסף הרופא (BRT), תחנה מרכזית ראשל"צ-לוד (BRT), לוד-תחנה מרכזית ראשל"צ (BRT)</t>
  </si>
  <si>
    <t>עפולה-נצרת (BRT), כפר ברוך-נצרת (BRT), נצרת-עפולה (BRT), נצרת-כפר ברוך (BRT), נצרת-אחיהוד (רק"ל), נצרת-מרכזית המפרץ (רק"ל), נצרת-חוף הכרמל (רק"ל)</t>
  </si>
  <si>
    <t>ראשל"צ-עתידים (רק"ל), אסף הרופא-מתחם ה-1000 (רק"ל), חוף ראשל"צ-אסף הרופא (רק"ל), מתחם ה-1000-אסף הרופא (רק"ל), אסף הרופא-חוף ראשל"צ (רק"ל), ראשל"צ-פ"ת (רק"ל), ראשל"צ-פ"ת (קרית אריה) (רק"ל), שוקת-זיכרון יעקב (רכבת פרברית), באר שבע-מודיעין (רכבת פרברית), מודיעין-באר שבע (רכבת פרברית), זיכרון יעקב-שוקת (רכבת פרברית)</t>
  </si>
  <si>
    <t>הרצליה-נתניה מזרח (רק"ל), נתניה מערב-הרצליה (רק"ל), הרצליה-נתניה מערב (רק"ל), נתניה מזרח-הרצליה (רק"ל), נתניה-ירושלים (רכבת פרברית), שוקת-זיכרון יעקב (רכבת פרברית), זיכרון יעקב-שוקת (רכבת פרברית), ירושלים-נתניה (רכבת פרברית)</t>
  </si>
  <si>
    <t>הרצליה-בת ים (מטרו), בת ים-הרצליה (מטרו), הרצליה-נתניה מזרח (רק"ל), הרצליה-חולון (רק"ל), הרצליה-נתניה מערב (רק"ל), כפר סבא-הרצליה (BRT), הרצליה-כפר סבא (BRT)</t>
  </si>
  <si>
    <t>אשקלון-אשדוד (כתום) (רק"ל), אשדוד-אשקלון (כתום) (רק"ל), קרית גת-אשקלון (כחול) (BRT), אשקלון-קרית גת (כחול) (BRT)</t>
  </si>
  <si>
    <t>צומת חולון-רצועת הנופש (BRT), צומת בילו-כפר סבא (דרך הוד השרון) (מטרו), כפר סבא-צומת בילו (דרך הוד השרון) (מטרו), רצועת הנופש-צומת חולון (BRT)</t>
  </si>
  <si>
    <t>צומת חולון-רצועת הנופש (BRT), צומת רעננה-צומת בילו (רק"ל), רצועת הנופש-צומת חולון (BRT), צומת בילו-צומת רעננה (רק"ל)</t>
  </si>
  <si>
    <t>הרצליה-בת ים (מטרו), צומת בילו-צומת רעננה (רק"ל), בת ים-הרצליה (מטרו), וולפסון-סגולה (מטרו), סגולה-וולפסון (מטרו)</t>
  </si>
  <si>
    <t>מרכזית הקריות-גילעם (דרך בן גוריון) (BRT), גילעם-מרכזית הקריות (דרך בן גוריון) (BRT), מרכזית המפרץ-נצרת (רק"ל), נצרת-מרכזית המפרץ (רק"ל), חוף הכרמל-נצרת (רק"ל), נצרת-חוף הכרמל (רק"ל)</t>
  </si>
  <si>
    <t>הרצליה-בת ים (מטרו), בת ים-הרצליה (מטרו), ראשל"צ-פ"ת (רק"ל), ראשל"צ-פ"ת (קרית אריה) (רק"ל), פ"ת (קרית אריה)-ראשל"צ (רק"ל), פ"ת-ראשל"צ (רק"ל)</t>
  </si>
  <si>
    <t>יבנה-אשדוד (דרך הנמל) (רק"ל), באר שבע-מודיעין (רכבת פרברית), שוקת-זיכרון יעקב (רכבת פרברית), זיכרון יעקב-שוקת (רכבת פרברית), מודיעין-באר שבע (רכבת פרברית)</t>
  </si>
  <si>
    <t>הרצליה-בת ים (מטרו), בת ים-הרצליה (מטרו), צומת בילו-צומת חולון (BRT), צומת חולון-צומת בילו (BRT)</t>
  </si>
  <si>
    <t>מרכז הכרמל-גילעם (דרך המנהרות) (BRT), גילעם-מרכז הכרמל (דרך המנהרות) (BRT), מרכזית המפרץ-נצרת (רק"ל), מרכזית הקריות-חוף הכרמל (דרך 22) (רק"ל), חוף הכרמל-מרכזית הקריות (דרך 22) (רק"ל), נצרת-מרכזית המפרץ (רק"ל), חוף הכרמל-נצרת (רק"ל), נצרת-חוף הכרמל (רק"ל)</t>
  </si>
  <si>
    <t>הרצליה-בת ים (מטרו), בת ים-הרצליה (מטרו), עתידים-ראשל"צ (רק"ל), ראשל"צ-עתידים (רק"ל)</t>
  </si>
  <si>
    <t>כפר ברוך-נצרת (BRT), הרצליה-בית שאן (רכבת פרברית), טבריה-עתלית (רכבת פרברית), עתלית-טבריה (רכבת פרברית), בית שאן-הרצליה (רכבת פרברית)</t>
  </si>
  <si>
    <t>נתניה-כפ"ס דרך טייבה/קלאנסווה (BRT), כפ"ס-נתניה דרך טייבה/קלאנסווה (רק"ל), כפר סבא-הרצליה (BRT), הרצליה-כפר סבא (BRT)</t>
  </si>
  <si>
    <t>אלעד-פ"ת (BRT), פ"ת-אלעד (BRT), ירושלים-חריש (רכבת פרברית), שוקת-חדרה (רכבת פרברית), בית שאן-הרצליה (רכבת פרברית), הרצליה-בית שאן (רכבת פרברית), חדרה-שוקת (רכבת פרברית), חריש-ירושלים (רכבת פרברית)</t>
  </si>
  <si>
    <t>צומת בילו-צומת רעננה (רק"ל), צומת רעננה-צומת בילו (רק"ל), באר שבע-מודיעין (רכבת פרברית), מודיעין-באר שבע (רכבת פרברית), אשדוד-מודיעין (רכבת פרברית), מודיעין-אשדוד (רכבת פרברית)</t>
  </si>
  <si>
    <t>אשקלון-אשדוד (כתום) (רק"ל), קרית גת-אשקלון (כחול) (BRT), אשקלון-קרית גת (כחול) (BRT), אשדוד-אשקלון (כתום) (רק"ל)</t>
  </si>
  <si>
    <t>מרכז הכרמל-גילעם (דרך המנהרות) (BRT), מרכזית הקריות-גילעם (דרך בן גוריון) (BRT), גילעם-מרכז הכרמל (דרך המנהרות) (BRT), גילעם-מרכזית הקריות (דרך הקריון) (BRT), מרכזית הקריות-גילעם (דרך הקריון) (BRT), גילעם-מרכזית הקריות (דרך בן גוריון) (BRT), מרכזית המפרץ-נצרת (רק"ל), נצרת-מרכזית המפרץ (רק"ל), חוף הכרמל-נצרת (רק"ל), נצרת-חוף הכרמל (רק"ל)</t>
  </si>
  <si>
    <t>הרצליה-נתניה מזרח (רק"ל), נתניה-כפ"ס דרך טייבה/קלאנסווה (BRT), כפ"ס-נתניה דרך טייבה/קלאנסווה (רק"ל), נתניה מזרח-הרצליה (רק"ל)</t>
  </si>
  <si>
    <t>הרצליה-חולון (רק"ל), חולון-הרצליה (רק"ל), הרצליה-בת ים (מטרו), בת ים-הרצליה (מטרו), צומת חולון-רצועת הנופש (BRT), רצועת הנופש-צומת חולון (BRT)</t>
  </si>
  <si>
    <t>הרצליה-בת ים (מטרו), צומת בילו-צומת רעננה (רק"ל), צומת רעננה-צומת בילו (רק"ל), בת ים-הרצליה (מטרו)</t>
  </si>
  <si>
    <t>צומת חולון-רצועת הנופש (BRT), רצועת הנופש-צומת חולון (BRT), אירפורא סיטי-אסף הרופא (BRT), אסף הרופא-אירפורט סיטי (BRT), חוף ראשל"צ-אסף הרופא (רק"ל), מתחם ה-1000-אסף הרופא (רק"ל)</t>
  </si>
  <si>
    <t>עתידים-ראשל"צ (רק"ל), כפר סבא-צומת בילו (דרך הוד השרון) (מטרו), חולון-אונ\' ת"א (רק"ל), אונ\' ת"א-חולון (רק"ל), צומת בילו-כפר סבא (דרך הוד השרון) (מטרו), כפר סבא-צומת בילו (דרך רעננה) (מטרו), צומת בילו-כפר סבא (דרך רעננה) (מטרו), ראשל"צ-עתידים (רק"ל)</t>
  </si>
  <si>
    <t>צומת חולון-רצועת הנופש (BRT), צומת בילו-צומת רעננה (רק"ל), צומת רעננה-צומת בילו (רק"ל)</t>
  </si>
  <si>
    <t>נתניה-כפ"ס דרך טייבה/קלאנסווה (BRT), נתניה-אשדוד (רק"ל), כפ"ס-נתניה דרך טייבה/קלאנסווה (רק"ל), אשדוד-נתניה (רק"ל), באר שבע-מודיעין (רכבת פרברית), באר שבע-ראש העין (רכבת פרברית), מודיעין-באר שבע (רכבת פרברית), ראש העין-באר שבע (רכבת פרברית)</t>
  </si>
  <si>
    <t>חדרה-באקה אל גרבייה (BRT), באקה אל גרבייה-חדרה (BRT), חריש-ירושלים (רכבת פרברית), ירושלים-חריש (רכבת פרברית)</t>
  </si>
  <si>
    <t>צומת חולון-רצועת הנופש (BRT), רצועת הנופש-צומת חולון (BRT), עתידים-ראשל"צ (רק"ל), ראשל"צ-עתידים (רק"ל), אונ\' ת"א-חולון (רק"ל)</t>
  </si>
  <si>
    <t>הרצליה-בת ים (מטרו), בת ים-הרצליה (מטרו), עתידים-ראשל"צ (רק"ל), ראשל"צ-עתידים (רק"ל), אונ\' ת"א-חולון (רק"ל), חולון-אונ\' ת"א (רק"ל)</t>
  </si>
  <si>
    <t>אשדוד-אשקלון (כתום) (רק"ל), אשקלון-קרית גת (ורוד) (BRT), קרית גת-אשקלון (ורוד) (BRT), אשקלון-אשדוד (כתום) (רק"ל)</t>
  </si>
  <si>
    <t>צומת בילו-צומת חולון (BRT), צומת חולון-צומת בילו (BRT), כפר סבא-צומת בילו (דרך הוד השרון) (מטרו), צומת בילו-כפר סבא (דרך הוד השרון) (מטרו), צומת בילו-כפר סבא (דרך רעננה) (מטרו), כפר סבא-צומת בילו (דרך רעננה) (מטרו)</t>
  </si>
  <si>
    <t>נתניה מערב-הרצליה (רק"ל), הרצליה-נתניה מערב (רק"ל), נתניה-כפ"ס דרך טייבה/קלאנסווה (BRT), כפ"ס-נתניה דרך טייבה/קלאנסווה (רק"ל)</t>
  </si>
  <si>
    <t>באר שבע-נהריה (רכבת בינעירונית), באר שבע-עכו (רכבת בינעירונית), באר שבע-ראש העין (רכבת פרברית), נהריה-באר שבע (רכבת בינעירונית), עכו-באר שבע (רכבת בינעירונית), צומת חולון-רצועת הנופש (BRT), רצועת הנופש-צומת חולון (BRT), צומת רעננה-צומת בילו (רק"ל), בית שמש-הרצליה (רכבת פרברית), צומת בילו-צומת רעננה (רק"ל), הרצליה-בית שמש (רכבת פרברית), ראש העין-באר שבע (רכבת פרברית)</t>
  </si>
  <si>
    <t>רחובות-גן יבנה (דרך אשדוד) (BRT), אשדוד-רחובות (דרך הנמל) (רק"ל), אשדוד-יבנה (דרך הנמל) (רק"ל), יבנה-אשדוד (דרך הנמל) (רק"ל), רחובות-אשדוד (דרך הנמל) (רק"ל), אשקלון-אשדוד (אדום) (רק"ל), אשדוד-אשקלון (אדום) (רק"ל)</t>
  </si>
  <si>
    <t>צומת בילו-צומת רעננה (רק"ל), אסף הרופא-אירפורט סיטי (BRT), אירפורא סיטי-אסף הרופא (BRT), תחנה מרכזית ראשל"צ-לוד (BRT), לוד-תחנה מרכזית ראשל"צ (BRT)</t>
  </si>
  <si>
    <t>רחובות-גן יבנה (דרך אשדוד) (BRT), אשדוד-רחובות (דרך הנמל) (רק"ל), אשדוד-יבנה (דרך הנמל) (רק"ל), יבנה-אשדוד (דרך הנמל) (רק"ל), רחובות-אשדוד (דרך הנמל) (רק"ל)</t>
  </si>
  <si>
    <t>כפר סבא-צומת בילו (דרך הוד השרון) (מטרו), צומת בילו-כפר סבא (דרך הוד השרון) (מטרו), צומת בילו-צומת רעננה (רק"ל), צומת רעננה-צומת בילו (רק"ל)</t>
  </si>
  <si>
    <t>אשקלון-אשדוד (כתום) (רק"ל), אשקלון-אשדוד (אדום) (רק"ל), אשדוד-אשקלון (אדום) (רק"ל), אשדוד-אשקלון (כתום) (רק"ל), אשקלון-קרית גת (ורוד) (BRT)</t>
  </si>
  <si>
    <t>אלעד-פ"ת (BRT), וולפסון-סגולה (מטרו), סגולה-וולפסון (מטרו)</t>
  </si>
  <si>
    <t>אשקלון-אשדוד (אדום) (רק"ל), אשדוד-אשקלון (אדום) (רק"ל), אשקלון-קרית גת (ורוד) (BRT), קרית גת-אשקלון (ורוד) (BRT)</t>
  </si>
  <si>
    <t>נהריה-אילת (רכבת מהירה), חיפה-ירושלים (רכבת מהירה), ירושלים-נתניה (רכבת פרברית), קרית שמונה-מודיעין (רכבת בינעירונית), נתניה-ירושלים (רכבת פרברית), מודיעין-קרית שמונה (רכבת בינעירונית), בית שאן-הרצליה (רכבת פרברית), באר שבע-חיפה (רכבת מהירה), הרצליה-בית שאן (רכבת פרברית), ירושלים-חיפה (רכבת מהירה), חיפה-באר שבע (רכבת מהירה), אילת-נהריה (רכבת מהירה), צומת בילו-צומת רעננה (רק"ל), צומת רעננה-צומת בילו (רק"ל)</t>
  </si>
  <si>
    <t>כפר סבא-הרצליה (BRT), הרצליה-כפר סבא (BRT), כפר סבא-צומת בילו (דרך הוד השרון) (מטרו), צומת בילו-כפר סבא (דרך הוד השרון) (מטרו), צומת בילו-כפר סבא (דרך רעננה) (מטרו), כפר סבא-צומת בילו (דרך רעננה) (מטרו)</t>
  </si>
  <si>
    <t>כפר סבא-צומת בילו (דרך הוד השרון) (מטרו), צומת בילו-כפר סבא (דרך הוד השרון) (מטרו), כפר סבא-צומת בילו (דרך רעננה) (מטרו), צומת בילו-צומת חולון (BRT), צומת חולון-צומת בילו (BRT), צומת בילו-כפר סבא (דרך רעננה) (מטרו)</t>
  </si>
  <si>
    <t>נתניה-אשדוד (רק"ל), אשדוד-נתניה (רק"ל), צומת בילו-צומת חולון (BRT), צומת חולון-צומת בילו (BRT)</t>
  </si>
  <si>
    <t>צומת בילו-צומת חולון (BRT), צומת חולון-צומת בילו (BRT), חולון-הרצליה (רק"ל)</t>
  </si>
  <si>
    <t>כפר סבא-צומת בילו (דרך הוד השרון) (מטרו), כפר סבא-צומת בילו (דרך רעננה) (מטרו), ירושלים-חריש (רכבת פרברית), שוקת-חדרה (רכבת פרברית), בית שאן-הרצליה (רכבת פרברית), הרצליה-בית שאן (רכבת פרברית), חדרה-שוקת (רכבת פרברית), חריש-ירושלים (רכבת פרברית)</t>
  </si>
  <si>
    <t>RankByHubTypeMetro</t>
  </si>
  <si>
    <t>תחנת רכבת קרית גת</t>
  </si>
  <si>
    <t>א.ת דרומי - אשקלון</t>
  </si>
  <si>
    <t>יצחק רבין/עמק יזרעאל, אשקלון</t>
  </si>
  <si>
    <t>יצחק רבין/מנחם בגין, אשקלון</t>
  </si>
  <si>
    <t>מנחם בגין/אקסודוס, אשקלון</t>
  </si>
  <si>
    <t>יצחק רבין/הבוצרים, אשקלון</t>
  </si>
  <si>
    <t>בן גוריון/התעשייה, אשקלון</t>
  </si>
  <si>
    <t>תחנת רכבת נתניה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</si>
</sst>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הדגשה1" xfId="19" builtinId="30" customBuiltin="1"/>
    <cellStyle name="20% - הדגשה2" xfId="23" builtinId="34" customBuiltin="1"/>
    <cellStyle name="20% - הדגשה3" xfId="27" builtinId="38" customBuiltin="1"/>
    <cellStyle name="20% - הדגשה4" xfId="31" builtinId="42" customBuiltin="1"/>
    <cellStyle name="20% - הדגשה5" xfId="35" builtinId="46" customBuiltin="1"/>
    <cellStyle name="20% - הדגשה6" xfId="39" builtinId="50" customBuiltin="1"/>
    <cellStyle name="40% - הדגשה1" xfId="20" builtinId="31" customBuiltin="1"/>
    <cellStyle name="40% - הדגשה2" xfId="24" builtinId="35" customBuiltin="1"/>
    <cellStyle name="40% - הדגשה3" xfId="28" builtinId="39" customBuiltin="1"/>
    <cellStyle name="40% - הדגשה4" xfId="32" builtinId="43" customBuiltin="1"/>
    <cellStyle name="40% - הדגשה5" xfId="36" builtinId="47" customBuiltin="1"/>
    <cellStyle name="40% - הדגשה6" xfId="40" builtinId="51" customBuiltin="1"/>
    <cellStyle name="60% - הדגשה1" xfId="21" builtinId="32" customBuiltin="1"/>
    <cellStyle name="60% - הדגשה2" xfId="25" builtinId="36" customBuiltin="1"/>
    <cellStyle name="60% - הדגשה3" xfId="29" builtinId="40" customBuiltin="1"/>
    <cellStyle name="60% - הדגשה4" xfId="33" builtinId="44" customBuiltin="1"/>
    <cellStyle name="60% - הדגשה5" xfId="37" builtinId="48" customBuiltin="1"/>
    <cellStyle name="60% - הדגשה6" xfId="41" builtinId="52" customBuiltin="1"/>
    <cellStyle name="Normal" xfId="0" builtinId="0"/>
    <cellStyle name="הדגשה1" xfId="18" builtinId="29" customBuiltin="1"/>
    <cellStyle name="הדגשה2" xfId="22" builtinId="33" customBuiltin="1"/>
    <cellStyle name="הדגשה3" xfId="26" builtinId="37" customBuiltin="1"/>
    <cellStyle name="הדגשה4" xfId="30" builtinId="41" customBuiltin="1"/>
    <cellStyle name="הדגשה5" xfId="34" builtinId="45" customBuiltin="1"/>
    <cellStyle name="הדגשה6" xfId="38" builtinId="49" customBuiltin="1"/>
    <cellStyle name="הערה" xfId="15" builtinId="10" customBuiltin="1"/>
    <cellStyle name="חישוב" xfId="11" builtinId="22" customBuiltin="1"/>
    <cellStyle name="טוב" xfId="6" builtinId="26" customBuiltin="1"/>
    <cellStyle name="טקסט אזהרה" xfId="14" builtinId="11" customBuiltin="1"/>
    <cellStyle name="טקסט הסברי" xfId="16" builtinId="53" customBuiltin="1"/>
    <cellStyle name="כותרת" xfId="1" builtinId="15" customBuiltin="1"/>
    <cellStyle name="כותרת 1" xfId="2" builtinId="16" customBuiltin="1"/>
    <cellStyle name="כותרת 2" xfId="3" builtinId="17" customBuiltin="1"/>
    <cellStyle name="כותרת 3" xfId="4" builtinId="18" customBuiltin="1"/>
    <cellStyle name="כותרת 4" xfId="5" builtinId="19" customBuiltin="1"/>
    <cellStyle name="ניטראלי" xfId="8" builtinId="28" customBuiltin="1"/>
    <cellStyle name="סה&quot;כ" xfId="17" builtinId="25" customBuiltin="1"/>
    <cellStyle name="פלט" xfId="10" builtinId="21" customBuiltin="1"/>
    <cellStyle name="קלט" xfId="9" builtinId="20" customBuiltin="1"/>
    <cellStyle name="רע" xfId="7" builtinId="27" customBuiltin="1"/>
    <cellStyle name="תא מסומן" xfId="13" builtinId="23" customBuiltin="1"/>
    <cellStyle name="תא מקושר" xfId="12" builtinId="24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34075C-97E0-484C-BF77-B6B949BCD924}" name="טבלה1" displayName="טבלה1" ref="A1:BR143" totalsRowShown="0">
  <autoFilter ref="A1:BR143" xr:uid="{2C34075C-97E0-484C-BF77-B6B949BCD924}"/>
  <tableColumns count="70">
    <tableColumn id="1" xr3:uid="{D6325902-DA24-4BA1-AC07-633D9CF2DD45}" name="group"/>
    <tableColumn id="2" xr3:uid="{C8DAD7BC-E631-4D2E-A7FA-00E20BA3ECF7}" name="x"/>
    <tableColumn id="3" xr3:uid="{42F7AB63-FA06-41E4-9543-6F874A3C2FA0}" name="y"/>
    <tableColumn id="4" xr3:uid="{99C8D7A0-D24C-419F-B5D7-C8E5AA1A2B2F}" name="h3_index"/>
    <tableColumn id="5" xr3:uid="{6AC3C743-9CB5-4AA6-B6FA-8EB628BD092B}" name="node"/>
    <tableColumn id="6" xr3:uid="{792503EE-E322-441F-9C9D-77A8634CFECD}" name="Mode_Planned"/>
    <tableColumn id="7" xr3:uid="{D1D2B798-1F72-441B-B586-0A711BF1A124}" name="Modes_ForPlot"/>
    <tableColumn id="8" xr3:uid="{3D3CE010-DAD6-4007-8644-949F2600561B}" name="Line_Unique"/>
    <tableColumn id="9" xr3:uid="{A2FE6A3C-AFCD-468C-822D-B6000FF5371E}" name="Line_Names"/>
    <tableColumn id="10" xr3:uid="{629AE66A-4285-4B20-B1F8-5531B0547D0D}" name="address"/>
    <tableColumn id="11" xr3:uid="{664C396D-597A-43F7-A333-435C3095228E}" name="area"/>
    <tableColumn id="12" xr3:uid="{A0D129B5-81DA-4CAA-93F3-21FF4ACCA1AC}" name="Metro"/>
    <tableColumn id="13" xr3:uid="{08C2CC71-DF5A-40EF-AE5E-57FF32F52FCF}" name="location"/>
    <tableColumn id="14" xr3:uid="{2A9BCF57-7773-40F0-99E6-08182EE3FB69}" name="LocationForChart"/>
    <tableColumn id="15" xr3:uid="{03D070C3-F659-4F4A-8DDD-60C50E3FBDE2}" name="TotalDemand"/>
    <tableColumn id="16" xr3:uid="{F5FE5215-69AA-4C63-AF51-7E2AC4B5E34D}" name="TotalTransfers"/>
    <tableColumn id="17" xr3:uid="{826A9B0E-25EE-4ED3-B759-A1C102F3F13A}" name="TransferRate"/>
    <tableColumn id="18" xr3:uid="{B7634AEA-14C9-46AB-BE27-6D39B7D6F7AC}" name="BRT Lines"/>
    <tableColumn id="19" xr3:uid="{49490B43-EBC6-4EF8-A9E3-62AA4A097AFB}" name="Cable Line Lines"/>
    <tableColumn id="20" xr3:uid="{15590C17-0E58-40D3-9A2C-F6186C90BE59}" name="Funicular Lines"/>
    <tableColumn id="21" xr3:uid="{6A56A891-87D0-4D57-8638-AD3B6E855EE0}" name="HighSpeed Rail Lines"/>
    <tableColumn id="22" xr3:uid="{E954FFA2-EE38-4C03-98AC-DD2B522458E7}" name="Interurban Rail Lines"/>
    <tableColumn id="23" xr3:uid="{961A1A76-9025-4A62-BDC8-A537EBB4006E}" name="LRT Lines"/>
    <tableColumn id="24" xr3:uid="{8835E816-7CA7-4DA5-ADC7-812264E017CB}" name="Metro Lines"/>
    <tableColumn id="25" xr3:uid="{44A7027E-47E2-48B9-8B83-3564D1998C10}" name="Suburban Rail Lines"/>
    <tableColumn id="26" xr3:uid="{65986999-77AB-485D-8AB8-4D92F9821116}" name="pop_0_500"/>
    <tableColumn id="27" xr3:uid="{EE0C0FAF-1465-4713-852B-6D1C1A25C01F}" name="emp_0_500"/>
    <tableColumn id="28" xr3:uid="{7B630AE4-B5F3-4758-9669-B0877A3423AF}" name="pop_500_1000"/>
    <tableColumn id="29" xr3:uid="{09E4231E-C94F-43EA-A3B2-3752EE27FE8C}" name="emp_500_1000"/>
    <tableColumn id="30" xr3:uid="{83D1A8DA-8FAB-4C46-BEE0-C3ABBA5F049D}" name="pop_1000_1500"/>
    <tableColumn id="31" xr3:uid="{A415BA77-548B-4385-B8BB-11222A9A5174}" name="emp_1000_1500"/>
    <tableColumn id="32" xr3:uid="{5FB132C1-B55C-4ECA-B526-D4534276D663}" name="TotalPop_2050"/>
    <tableColumn id="33" xr3:uid="{C12E124E-2599-41EC-A8B4-550565E06D5B}" name="TotalEmp_2050"/>
    <tableColumn id="34" xr3:uid="{69D48516-1016-4806-B3E8-84387981B787}" name="Region_category"/>
    <tableColumn id="35" xr3:uid="{FD6DEF90-DAA7-4155-8911-17CB41E62B07}" name="Location_category"/>
    <tableColumn id="36" xr3:uid="{1944962D-C642-4C3C-B6E1-32EF999C15CF}" name="RegionLocation"/>
    <tableColumn id="37" xr3:uid="{6E9C4205-BEDE-4672-92B6-88B216FE1108}" name="Num_Modes"/>
    <tableColumn id="38" xr3:uid="{76A1401D-FF26-4C6E-B89C-FBE6C336784C}" name="score"/>
    <tableColumn id="39" xr3:uid="{4CDBA870-7739-4389-8CB1-54AC70D217C3}" name="bus_terminal"/>
    <tableColumn id="40" xr3:uid="{74045F5D-127A-4211-8045-BDCF0B94D471}" name="HubType"/>
    <tableColumn id="41" xr3:uid="{9B834707-1D57-4A74-8E3D-9A336A96D175}" name="HubType_Filtered"/>
    <tableColumn id="42" xr3:uid="{E457C1A8-039D-4542-9828-4A86F4CA0C6B}" name="HubTypeHE"/>
    <tableColumn id="43" xr3:uid="{49E45AEC-0087-435E-932E-E3B358239852}" name="BusTERMINAL_Clone"/>
    <tableColumn id="44" xr3:uid="{8A97332E-A92A-4BDC-BE5A-5E3F8EF22D23}" name="RegionLocation_Norm"/>
    <tableColumn id="45" xr3:uid="{66E14B8B-742F-45B7-B873-E769EA91807B}" name="score_Norm"/>
    <tableColumn id="46" xr3:uid="{237FF00E-198D-4DC8-BF38-67C867EECD8A}" name="bus_terminal_Norm"/>
    <tableColumn id="47" xr3:uid="{BE06D490-B77D-453B-ABD1-057B7D2AEE4B}" name="TotalDemand_Norm"/>
    <tableColumn id="48" xr3:uid="{598E24B6-82A9-4037-95ED-C8616788E93C}" name="PopEmp_Score_Norm"/>
    <tableColumn id="49" xr3:uid="{061F442E-D314-40C1-B50F-9E7BCB09DBA6}" name="TotalScore_MC"/>
    <tableColumn id="50" xr3:uid="{3161299A-379A-4C5A-9379-83E81D6EF9F2}" name="Rank_TS_MC"/>
    <tableColumn id="51" xr3:uid="{08D99DE8-778E-4FFB-92F8-F0050A3ADD8C}" name="Rank_By_TS_MC_By_Metro"/>
    <tableColumn id="52" xr3:uid="{E9E5D727-9622-4513-9B6E-3DD63F0503C7}" name="TotalNumLines"/>
    <tableColumn id="53" xr3:uid="{D495925B-F30B-4251-A292-47CC93957095}" name="NumLinesStatus_0"/>
    <tableColumn id="54" xr3:uid="{CD5F2987-18DF-4016-A4B3-5F78E0F241BD}" name="NumLinesStatus_1"/>
    <tableColumn id="55" xr3:uid="{0FD12AC9-4EBB-4CB9-878D-A6055DC40DB4}" name="NumLinesStatus_2"/>
    <tableColumn id="56" xr3:uid="{AFF420AE-3B66-4CAC-B816-474FC9BDF0BF}" name="NumLinesStatus_3"/>
    <tableColumn id="57" xr3:uid="{E64C4CA8-75FB-4C11-9A6E-CFB2D7E77688}" name="NumLinesStatus_4"/>
    <tableColumn id="58" xr3:uid="{193C5858-A4F5-4E86-A406-9C16BE62BFAD}" name="NumLinesStatus_5"/>
    <tableColumn id="59" xr3:uid="{399A9E1E-CA33-4807-9660-E5600D97CA9B}" name="NumLinesStatus_6"/>
    <tableColumn id="60" xr3:uid="{588B8759-A3AE-4CA4-B6CC-41310B41E2E7}" name="NumLinesStatus_7"/>
    <tableColumn id="61" xr3:uid="{DF830A52-80CF-4198-9EF6-9647CD95B36C}" name="TotalLinesAllStatuses"/>
    <tableColumn id="62" xr3:uid="{929A2648-2C12-4954-ACB1-07A85B927DC9}" name="Line_Nunique"/>
    <tableColumn id="63" xr3:uid="{016A68A7-05EE-4151-BC0E-C286C3AC4E29}" name="Average_Simulated_Score"/>
    <tableColumn id="64" xr3:uid="{48E635C9-9EE2-4FBF-BD57-F208622D3C29}" name="Overall_Rank"/>
    <tableColumn id="65" xr3:uid="{134A098B-9C5B-45F5-8A5F-AF71AA7836DF}" name="Rank_within_HubType"/>
    <tableColumn id="66" xr3:uid="{6741F836-431C-4A43-B0F3-6C6C26A77AE9}" name="LogDemand"/>
    <tableColumn id="67" xr3:uid="{1ED885B3-3260-4693-9AF3-0A95C7B56C63}" name="PopEmp_Score"/>
    <tableColumn id="68" xr3:uid="{96E2D90E-E23C-490A-B912-B5C61DE2A175}" name="HubNameHE"/>
    <tableColumn id="69" xr3:uid="{40BAAC2B-2D76-4DEC-AD9F-82BB4E0C0D43}" name="Line_Names_forPlot"/>
    <tableColumn id="70" xr3:uid="{C8EB42EA-B6D1-4E28-A3C3-504A50345AC5}" name="RankByHubTypeMetro">
      <calculatedColumnFormula array="1">IF($AP2="ארצי",SUMPRODUCT(($AP$2:$AP$143="ארצי")*($BK$2:$BK$143&gt;$BK2))+1,SUMPRODUCT(($AP$2:$AP$143=$AP2)*($L$2:$L$143=$L2)*($BK$2:$BK$143&gt;$BK2))+1)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1615BA8-C3C5-4E9A-92FB-D2A26B4194EE}">
  <we:reference id="wa200009404" version="1.0.0.8" store="he-IL" storeType="OMEX"/>
  <we:alternateReferences>
    <we:reference id="WA200009404" version="1.0.0.8" store="WA200009404" storeType="OMEX"/>
  </we:alternateReferences>
  <we:properties>
    <we:property name="claude.fileId" value="&quot;15b7be11-2b49-4b79-980e-4228f95bddd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2EB38-3C20-4B1E-83FE-3EDCF14CEE45}">
  <dimension ref="A1:BR143"/>
  <sheetViews>
    <sheetView tabSelected="1" topLeftCell="BF1" workbookViewId="0">
      <selection activeCell="BJ10" sqref="BJ10"/>
    </sheetView>
  </sheetViews>
  <sheetFormatPr defaultRowHeight="15" x14ac:dyDescent="0.25"/>
  <cols>
    <col min="2" max="3" width="9.140625" customWidth="1"/>
    <col min="4" max="4" width="11.140625" customWidth="1"/>
    <col min="5" max="5" width="9.140625" customWidth="1"/>
    <col min="6" max="6" width="16.28515625" customWidth="1"/>
    <col min="7" max="7" width="16.42578125" customWidth="1"/>
    <col min="8" max="8" width="14.28515625" customWidth="1"/>
    <col min="9" max="9" width="14.140625" customWidth="1"/>
    <col min="10" max="10" width="10.28515625" customWidth="1"/>
    <col min="11" max="12" width="9.140625" customWidth="1"/>
    <col min="13" max="13" width="10.42578125" customWidth="1"/>
    <col min="14" max="14" width="18.7109375" customWidth="1"/>
    <col min="15" max="15" width="15.140625" customWidth="1"/>
    <col min="16" max="16" width="16" customWidth="1"/>
    <col min="17" max="17" width="14.7109375" customWidth="1"/>
    <col min="18" max="18" width="11.85546875" customWidth="1"/>
    <col min="19" max="19" width="18" customWidth="1"/>
    <col min="20" max="20" width="16.7109375" customWidth="1"/>
    <col min="21" max="21" width="22.140625" customWidth="1"/>
    <col min="22" max="22" width="21.7109375" customWidth="1"/>
    <col min="23" max="23" width="11.7109375" customWidth="1"/>
    <col min="24" max="24" width="13.7109375" customWidth="1"/>
    <col min="25" max="25" width="20.85546875" customWidth="1"/>
    <col min="26" max="26" width="12.28515625" customWidth="1"/>
    <col min="27" max="27" width="12.85546875" customWidth="1"/>
    <col min="28" max="28" width="15.28515625" customWidth="1"/>
    <col min="29" max="29" width="15.85546875" customWidth="1"/>
    <col min="30" max="30" width="16.28515625" customWidth="1"/>
    <col min="31" max="31" width="16.85546875" customWidth="1"/>
    <col min="32" max="32" width="15.85546875" customWidth="1"/>
    <col min="33" max="33" width="16.42578125" customWidth="1"/>
    <col min="34" max="34" width="18" customWidth="1"/>
    <col min="35" max="35" width="19.42578125" customWidth="1"/>
    <col min="36" max="36" width="17.140625" customWidth="1"/>
    <col min="37" max="37" width="14.28515625" customWidth="1"/>
    <col min="38" max="38" width="9.140625" customWidth="1"/>
    <col min="39" max="39" width="14.85546875" customWidth="1"/>
    <col min="40" max="40" width="11.140625" customWidth="1"/>
    <col min="41" max="41" width="19" customWidth="1"/>
    <col min="42" max="42" width="13.7109375" customWidth="1"/>
    <col min="43" max="43" width="21.85546875" customWidth="1"/>
    <col min="44" max="44" width="23" customWidth="1"/>
    <col min="45" max="45" width="14" customWidth="1"/>
    <col min="46" max="46" width="20.7109375" customWidth="1"/>
    <col min="47" max="47" width="21" customWidth="1"/>
    <col min="48" max="48" width="22.42578125" customWidth="1"/>
    <col min="49" max="49" width="16.5703125" customWidth="1"/>
    <col min="50" max="50" width="14.42578125" customWidth="1"/>
    <col min="51" max="51" width="26.5703125" customWidth="1"/>
    <col min="52" max="52" width="16.7109375" customWidth="1"/>
    <col min="53" max="60" width="19.85546875" customWidth="1"/>
    <col min="61" max="61" width="22.5703125" customWidth="1"/>
    <col min="62" max="62" width="15.5703125" customWidth="1"/>
    <col min="63" max="63" width="26.28515625" customWidth="1"/>
    <col min="64" max="64" width="14.85546875" customWidth="1"/>
    <col min="65" max="65" width="22.85546875" customWidth="1"/>
    <col min="66" max="66" width="13.85546875" customWidth="1"/>
    <col min="67" max="67" width="16.5703125" customWidth="1"/>
    <col min="68" max="68" width="14.7109375" customWidth="1"/>
    <col min="69" max="69" width="21.140625" customWidth="1"/>
    <col min="70" max="70" width="23" customWidth="1"/>
  </cols>
  <sheetData>
    <row r="1" spans="1:7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798</v>
      </c>
      <c r="BR1" t="s">
        <v>899</v>
      </c>
    </row>
    <row r="2" spans="1:70" x14ac:dyDescent="0.25">
      <c r="A2">
        <v>282</v>
      </c>
      <c r="B2">
        <v>35.201466609532197</v>
      </c>
      <c r="C2">
        <v>31.786944684114001</v>
      </c>
      <c r="D2" t="s">
        <v>68</v>
      </c>
      <c r="E2" t="s">
        <v>69</v>
      </c>
      <c r="F2" t="s">
        <v>70</v>
      </c>
      <c r="G2" t="s">
        <v>71</v>
      </c>
      <c r="H2" t="s">
        <v>72</v>
      </c>
      <c r="I2" t="s">
        <v>73</v>
      </c>
      <c r="J2" t="s">
        <v>74</v>
      </c>
      <c r="K2" t="s">
        <v>75</v>
      </c>
      <c r="L2" t="s">
        <v>75</v>
      </c>
      <c r="M2" t="s">
        <v>76</v>
      </c>
      <c r="N2" t="s">
        <v>77</v>
      </c>
      <c r="O2">
        <v>208027.44</v>
      </c>
      <c r="P2">
        <v>0</v>
      </c>
      <c r="Q2">
        <v>0</v>
      </c>
      <c r="R2">
        <v>0</v>
      </c>
      <c r="S2">
        <v>0</v>
      </c>
      <c r="T2">
        <v>0</v>
      </c>
      <c r="U2">
        <v>3.3333333333333299</v>
      </c>
      <c r="V2">
        <v>3.3333333333333299</v>
      </c>
      <c r="W2">
        <v>12</v>
      </c>
      <c r="X2">
        <v>0</v>
      </c>
      <c r="Y2">
        <v>3.3333333333333299</v>
      </c>
      <c r="Z2">
        <v>18576.272854727798</v>
      </c>
      <c r="AA2">
        <v>41352.001675450898</v>
      </c>
      <c r="AB2">
        <v>43883.175767865097</v>
      </c>
      <c r="AC2">
        <v>40687.670948258601</v>
      </c>
      <c r="AD2">
        <v>25703.590005805199</v>
      </c>
      <c r="AE2">
        <v>23930.725010707501</v>
      </c>
      <c r="AF2">
        <v>88163.038628398193</v>
      </c>
      <c r="AG2">
        <v>105970.39763441699</v>
      </c>
      <c r="AH2">
        <v>1</v>
      </c>
      <c r="AI2">
        <v>3</v>
      </c>
      <c r="AJ2">
        <v>3</v>
      </c>
      <c r="AK2">
        <v>4</v>
      </c>
      <c r="AL2">
        <v>169</v>
      </c>
      <c r="AM2">
        <v>3</v>
      </c>
      <c r="AN2" t="s">
        <v>78</v>
      </c>
      <c r="AO2" t="b">
        <v>0</v>
      </c>
      <c r="AP2" t="s">
        <v>78</v>
      </c>
      <c r="AQ2">
        <v>3</v>
      </c>
      <c r="AR2">
        <v>10</v>
      </c>
      <c r="AS2">
        <v>5.9088104216660904</v>
      </c>
      <c r="AT2">
        <v>10</v>
      </c>
      <c r="AU2">
        <v>5.4080909970572701</v>
      </c>
      <c r="AV2">
        <v>5.8934059369157898</v>
      </c>
      <c r="AW2">
        <v>7.4926816168880999</v>
      </c>
      <c r="AX2">
        <v>1</v>
      </c>
      <c r="AY2">
        <v>1</v>
      </c>
      <c r="AZ2">
        <v>21.999999999999901</v>
      </c>
      <c r="BA2">
        <v>9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9</v>
      </c>
      <c r="BJ2">
        <v>22</v>
      </c>
      <c r="BK2">
        <v>7.4926816168880999</v>
      </c>
      <c r="BL2">
        <v>1</v>
      </c>
      <c r="BM2">
        <v>1</v>
      </c>
      <c r="BN2">
        <v>5.3181206246482704</v>
      </c>
      <c r="BO2">
        <v>102408.925833213</v>
      </c>
      <c r="BP2" t="s">
        <v>79</v>
      </c>
      <c r="BQ2" t="s">
        <v>799</v>
      </c>
      <c r="BR2" cm="1">
        <f t="array" ref="BR2">IF($AP2="ארצי",SUMPRODUCT(($AP$2:$AP$143="ארצי")*($BK$2:$BK$143&gt;$BK2))+1,SUMPRODUCT(($AP$2:$AP$143=$AP2)*($L$2:$L$143=$L2)*($BK$2:$BK$143&gt;$BK2))+1)</f>
        <v>1</v>
      </c>
    </row>
    <row r="3" spans="1:70" x14ac:dyDescent="0.25">
      <c r="A3">
        <v>493</v>
      </c>
      <c r="B3">
        <v>35.035457711922199</v>
      </c>
      <c r="C3">
        <v>32.793227632350103</v>
      </c>
      <c r="D3" t="s">
        <v>80</v>
      </c>
      <c r="E3" t="s">
        <v>81</v>
      </c>
      <c r="F3" t="s">
        <v>82</v>
      </c>
      <c r="G3" t="s">
        <v>83</v>
      </c>
      <c r="H3" t="s">
        <v>84</v>
      </c>
      <c r="I3" t="s">
        <v>85</v>
      </c>
      <c r="J3" t="s">
        <v>74</v>
      </c>
      <c r="K3" t="s">
        <v>86</v>
      </c>
      <c r="L3" t="s">
        <v>86</v>
      </c>
      <c r="M3" t="s">
        <v>76</v>
      </c>
      <c r="N3" t="s">
        <v>77</v>
      </c>
      <c r="O3">
        <v>215309.84336699999</v>
      </c>
      <c r="P3">
        <v>189892.40020199999</v>
      </c>
      <c r="Q3">
        <v>0.88194946051920398</v>
      </c>
      <c r="R3">
        <v>10</v>
      </c>
      <c r="S3">
        <v>1</v>
      </c>
      <c r="T3">
        <v>0</v>
      </c>
      <c r="U3">
        <v>7</v>
      </c>
      <c r="V3">
        <v>7</v>
      </c>
      <c r="W3">
        <v>5</v>
      </c>
      <c r="X3">
        <v>0</v>
      </c>
      <c r="Y3">
        <v>4</v>
      </c>
      <c r="Z3">
        <v>820.81080207699995</v>
      </c>
      <c r="AA3">
        <v>5695.5684526764198</v>
      </c>
      <c r="AB3">
        <v>2950.1790195723502</v>
      </c>
      <c r="AC3">
        <v>10959.396163501</v>
      </c>
      <c r="AD3">
        <v>3859.8465061639499</v>
      </c>
      <c r="AE3">
        <v>7345.6245232047204</v>
      </c>
      <c r="AF3">
        <v>7630.8363278133102</v>
      </c>
      <c r="AG3">
        <v>24000.589139382198</v>
      </c>
      <c r="AH3">
        <v>1</v>
      </c>
      <c r="AI3">
        <v>3</v>
      </c>
      <c r="AJ3">
        <v>3</v>
      </c>
      <c r="AK3">
        <v>6</v>
      </c>
      <c r="AL3">
        <v>295.5</v>
      </c>
      <c r="AM3">
        <v>3</v>
      </c>
      <c r="AN3" t="s">
        <v>78</v>
      </c>
      <c r="AO3" t="b">
        <v>0</v>
      </c>
      <c r="AP3" t="s">
        <v>78</v>
      </c>
      <c r="AQ3">
        <v>3</v>
      </c>
      <c r="AR3">
        <v>10</v>
      </c>
      <c r="AS3">
        <v>9.8117929379499405</v>
      </c>
      <c r="AT3">
        <v>10</v>
      </c>
      <c r="AU3">
        <v>5.5268638075244203</v>
      </c>
      <c r="AV3">
        <v>1.9641375106761101</v>
      </c>
      <c r="AW3">
        <v>7.3768293422047702</v>
      </c>
      <c r="AX3">
        <v>2</v>
      </c>
      <c r="AY3">
        <v>2</v>
      </c>
      <c r="AZ3">
        <v>34</v>
      </c>
      <c r="BA3">
        <v>3</v>
      </c>
      <c r="BB3">
        <v>0</v>
      </c>
      <c r="BC3">
        <v>0</v>
      </c>
      <c r="BD3">
        <v>0</v>
      </c>
      <c r="BE3">
        <v>0</v>
      </c>
      <c r="BF3">
        <v>0</v>
      </c>
      <c r="BG3">
        <v>3</v>
      </c>
      <c r="BH3">
        <v>0</v>
      </c>
      <c r="BI3">
        <v>6</v>
      </c>
      <c r="BJ3">
        <v>34</v>
      </c>
      <c r="BK3">
        <v>7.3768293422047702</v>
      </c>
      <c r="BL3">
        <v>2</v>
      </c>
      <c r="BM3">
        <v>2</v>
      </c>
      <c r="BN3">
        <v>5.3330638850127601</v>
      </c>
      <c r="BO3">
        <v>20726.638577068399</v>
      </c>
      <c r="BP3" t="s">
        <v>87</v>
      </c>
      <c r="BQ3" t="s">
        <v>800</v>
      </c>
      <c r="BR3" cm="1">
        <f t="array" ref="BR3">IF($AP3="ארצי",SUMPRODUCT(($AP$2:$AP$143="ארצי")*($BK$2:$BK$143&gt;$BK3))+1,SUMPRODUCT(($AP$2:$AP$143=$AP3)*($L$2:$L$143=$L3)*($BK$2:$BK$143&gt;$BK3))+1)</f>
        <v>2</v>
      </c>
    </row>
    <row r="4" spans="1:70" x14ac:dyDescent="0.25">
      <c r="A4">
        <v>642</v>
      </c>
      <c r="B4">
        <v>34.797273194276897</v>
      </c>
      <c r="C4">
        <v>32.0833902750975</v>
      </c>
      <c r="D4" t="s">
        <v>88</v>
      </c>
      <c r="E4" t="s">
        <v>89</v>
      </c>
      <c r="F4" t="s">
        <v>90</v>
      </c>
      <c r="G4" t="s">
        <v>91</v>
      </c>
      <c r="H4" t="s">
        <v>92</v>
      </c>
      <c r="I4" t="s">
        <v>93</v>
      </c>
      <c r="J4" t="s">
        <v>74</v>
      </c>
      <c r="K4" t="s">
        <v>94</v>
      </c>
      <c r="L4" t="s">
        <v>94</v>
      </c>
      <c r="M4" t="s">
        <v>76</v>
      </c>
      <c r="N4" t="s">
        <v>77</v>
      </c>
      <c r="O4">
        <v>333765.02</v>
      </c>
      <c r="P4">
        <v>232459.91</v>
      </c>
      <c r="Q4">
        <v>0.69647774952569896</v>
      </c>
      <c r="R4">
        <v>0</v>
      </c>
      <c r="S4">
        <v>0</v>
      </c>
      <c r="T4">
        <v>0</v>
      </c>
      <c r="U4">
        <v>0</v>
      </c>
      <c r="V4">
        <v>11</v>
      </c>
      <c r="W4">
        <v>8</v>
      </c>
      <c r="X4">
        <v>4</v>
      </c>
      <c r="Y4">
        <v>11</v>
      </c>
      <c r="Z4">
        <v>17634.226918537101</v>
      </c>
      <c r="AA4">
        <v>52470.473781377099</v>
      </c>
      <c r="AB4">
        <v>43461.6491529415</v>
      </c>
      <c r="AC4">
        <v>69984.063624759598</v>
      </c>
      <c r="AD4">
        <v>31781.897656126399</v>
      </c>
      <c r="AE4">
        <v>30048.7819401179</v>
      </c>
      <c r="AF4">
        <v>92877.773727605105</v>
      </c>
      <c r="AG4">
        <v>152503.31934625399</v>
      </c>
      <c r="AH4">
        <v>0</v>
      </c>
      <c r="AI4">
        <v>3</v>
      </c>
      <c r="AJ4">
        <v>0</v>
      </c>
      <c r="AK4">
        <v>4</v>
      </c>
      <c r="AL4">
        <v>269.10000000000002</v>
      </c>
      <c r="AM4">
        <v>3</v>
      </c>
      <c r="AN4" t="s">
        <v>78</v>
      </c>
      <c r="AO4" t="b">
        <v>0</v>
      </c>
      <c r="AP4" t="s">
        <v>78</v>
      </c>
      <c r="AQ4">
        <v>3</v>
      </c>
      <c r="AR4">
        <v>1</v>
      </c>
      <c r="AS4">
        <v>8.9972574562907006</v>
      </c>
      <c r="AT4">
        <v>10</v>
      </c>
      <c r="AU4">
        <v>7.0400277974310601</v>
      </c>
      <c r="AV4">
        <v>7.7295122586300096</v>
      </c>
      <c r="AW4">
        <v>7.1232141000614799</v>
      </c>
      <c r="AX4">
        <v>3</v>
      </c>
      <c r="AY4">
        <v>3</v>
      </c>
      <c r="AZ4">
        <v>34</v>
      </c>
      <c r="BA4">
        <v>6</v>
      </c>
      <c r="BB4">
        <v>0</v>
      </c>
      <c r="BC4">
        <v>0</v>
      </c>
      <c r="BD4">
        <v>0</v>
      </c>
      <c r="BE4">
        <v>0</v>
      </c>
      <c r="BF4">
        <v>4</v>
      </c>
      <c r="BG4">
        <v>2</v>
      </c>
      <c r="BH4">
        <v>0</v>
      </c>
      <c r="BI4">
        <v>12</v>
      </c>
      <c r="BJ4">
        <v>34</v>
      </c>
      <c r="BK4">
        <v>7.1232141000614799</v>
      </c>
      <c r="BL4">
        <v>3</v>
      </c>
      <c r="BM4">
        <v>3</v>
      </c>
      <c r="BN4">
        <v>5.5234408188110997</v>
      </c>
      <c r="BO4">
        <v>140578.21022252401</v>
      </c>
      <c r="BP4" t="s">
        <v>95</v>
      </c>
      <c r="BQ4" t="s">
        <v>801</v>
      </c>
      <c r="BR4" cm="1">
        <f t="array" ref="BR4">IF($AP4="ארצי",SUMPRODUCT(($AP$2:$AP$143="ארצי")*($BK$2:$BK$143&gt;$BK4))+1,SUMPRODUCT(($AP$2:$AP$143=$AP4)*($L$2:$L$143=$L4)*($BK$2:$BK$143&gt;$BK4))+1)</f>
        <v>3</v>
      </c>
    </row>
    <row r="5" spans="1:70" x14ac:dyDescent="0.25">
      <c r="A5">
        <v>1037</v>
      </c>
      <c r="B5">
        <v>34.796917400563203</v>
      </c>
      <c r="C5">
        <v>31.242187971676501</v>
      </c>
      <c r="D5" t="s">
        <v>96</v>
      </c>
      <c r="E5" t="s">
        <v>97</v>
      </c>
      <c r="F5" t="s">
        <v>98</v>
      </c>
      <c r="G5" t="s">
        <v>99</v>
      </c>
      <c r="H5" t="s">
        <v>100</v>
      </c>
      <c r="I5" t="s">
        <v>101</v>
      </c>
      <c r="J5" t="s">
        <v>74</v>
      </c>
      <c r="K5" t="s">
        <v>102</v>
      </c>
      <c r="L5" t="s">
        <v>102</v>
      </c>
      <c r="M5" t="s">
        <v>76</v>
      </c>
      <c r="N5" t="s">
        <v>77</v>
      </c>
      <c r="O5">
        <v>28517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7</v>
      </c>
      <c r="W5">
        <v>4</v>
      </c>
      <c r="X5">
        <v>0</v>
      </c>
      <c r="Y5">
        <v>7</v>
      </c>
      <c r="Z5">
        <v>9609.0036042915199</v>
      </c>
      <c r="AA5">
        <v>15203.742728212001</v>
      </c>
      <c r="AB5">
        <v>16056.292157510999</v>
      </c>
      <c r="AC5">
        <v>17973.769934002899</v>
      </c>
      <c r="AD5">
        <v>10894.827366187201</v>
      </c>
      <c r="AE5">
        <v>8584.2409562133198</v>
      </c>
      <c r="AF5">
        <v>36560.123127989798</v>
      </c>
      <c r="AG5">
        <v>41761.753618428302</v>
      </c>
      <c r="AH5">
        <v>1</v>
      </c>
      <c r="AI5">
        <v>3</v>
      </c>
      <c r="AJ5">
        <v>3</v>
      </c>
      <c r="AK5">
        <v>3</v>
      </c>
      <c r="AL5">
        <v>133.19999999999999</v>
      </c>
      <c r="AM5">
        <v>3</v>
      </c>
      <c r="AN5" t="s">
        <v>103</v>
      </c>
      <c r="AO5" t="b">
        <v>0</v>
      </c>
      <c r="AP5" t="s">
        <v>103</v>
      </c>
      <c r="AQ5">
        <v>3</v>
      </c>
      <c r="AR5">
        <v>10</v>
      </c>
      <c r="AS5">
        <v>4.8042509427493902</v>
      </c>
      <c r="AT5">
        <v>10</v>
      </c>
      <c r="AU5">
        <v>4.7810274902114704</v>
      </c>
      <c r="AV5">
        <v>2.9259726345843799</v>
      </c>
      <c r="AW5">
        <v>6.9564876843205603</v>
      </c>
      <c r="AX5">
        <v>4</v>
      </c>
      <c r="AY5">
        <v>1</v>
      </c>
      <c r="AZ5">
        <v>18</v>
      </c>
      <c r="BA5">
        <v>4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4</v>
      </c>
      <c r="BJ5">
        <v>18</v>
      </c>
      <c r="BK5">
        <v>6.9564876843205603</v>
      </c>
      <c r="BL5">
        <v>4</v>
      </c>
      <c r="BM5">
        <v>1</v>
      </c>
      <c r="BN5">
        <v>4.4551038356266899</v>
      </c>
      <c r="BO5">
        <v>40721.4275203406</v>
      </c>
      <c r="BP5" t="s">
        <v>104</v>
      </c>
      <c r="BQ5" t="s">
        <v>802</v>
      </c>
      <c r="BR5" cm="1">
        <f t="array" ref="BR5">IF($AP5="ארצי",SUMPRODUCT(($AP$2:$AP$143="ארצי")*($BK$2:$BK$143&gt;$BK5))+1,SUMPRODUCT(($AP$2:$AP$143=$AP5)*($L$2:$L$143=$L5)*($BK$2:$BK$143&gt;$BK5))+1)</f>
        <v>1</v>
      </c>
    </row>
    <row r="6" spans="1:70" x14ac:dyDescent="0.25">
      <c r="A6">
        <v>519</v>
      </c>
      <c r="B6">
        <v>34.983673875067403</v>
      </c>
      <c r="C6">
        <v>32.830743636272203</v>
      </c>
      <c r="D6" t="s">
        <v>105</v>
      </c>
      <c r="E6" t="s">
        <v>106</v>
      </c>
      <c r="F6" t="s">
        <v>107</v>
      </c>
      <c r="G6" t="s">
        <v>108</v>
      </c>
      <c r="H6" t="s">
        <v>109</v>
      </c>
      <c r="I6" t="s">
        <v>110</v>
      </c>
      <c r="J6" t="s">
        <v>74</v>
      </c>
      <c r="K6" t="s">
        <v>86</v>
      </c>
      <c r="L6" t="s">
        <v>86</v>
      </c>
      <c r="M6" t="s">
        <v>76</v>
      </c>
      <c r="N6" t="s">
        <v>77</v>
      </c>
      <c r="O6">
        <v>32877.76296367</v>
      </c>
      <c r="P6">
        <v>27890.610336599999</v>
      </c>
      <c r="Q6">
        <v>0.84831228838224704</v>
      </c>
      <c r="R6">
        <v>6</v>
      </c>
      <c r="S6">
        <v>0</v>
      </c>
      <c r="T6">
        <v>0</v>
      </c>
      <c r="U6">
        <v>0</v>
      </c>
      <c r="V6">
        <v>6</v>
      </c>
      <c r="W6">
        <v>6</v>
      </c>
      <c r="X6">
        <v>0</v>
      </c>
      <c r="Y6">
        <v>6</v>
      </c>
      <c r="Z6">
        <v>11361.9325797497</v>
      </c>
      <c r="AA6">
        <v>10581.9676727529</v>
      </c>
      <c r="AB6">
        <v>12654.8830054055</v>
      </c>
      <c r="AC6">
        <v>7504.32343495429</v>
      </c>
      <c r="AD6">
        <v>6275.9163735311204</v>
      </c>
      <c r="AE6">
        <v>4070.9599157605799</v>
      </c>
      <c r="AF6">
        <v>30292.7319586864</v>
      </c>
      <c r="AG6">
        <v>22157.251023467801</v>
      </c>
      <c r="AH6">
        <v>1</v>
      </c>
      <c r="AI6">
        <v>3</v>
      </c>
      <c r="AJ6">
        <v>3</v>
      </c>
      <c r="AK6">
        <v>4</v>
      </c>
      <c r="AL6">
        <v>171.6</v>
      </c>
      <c r="AM6">
        <v>2</v>
      </c>
      <c r="AN6" t="s">
        <v>103</v>
      </c>
      <c r="AO6" t="b">
        <v>0</v>
      </c>
      <c r="AP6" t="s">
        <v>103</v>
      </c>
      <c r="AQ6">
        <v>2</v>
      </c>
      <c r="AR6">
        <v>10</v>
      </c>
      <c r="AS6">
        <v>5.98902982516283</v>
      </c>
      <c r="AT6">
        <v>7</v>
      </c>
      <c r="AU6">
        <v>5.0947345009359797</v>
      </c>
      <c r="AV6">
        <v>2.1112264132230201</v>
      </c>
      <c r="AW6">
        <v>6.6784325937525901</v>
      </c>
      <c r="AX6">
        <v>5</v>
      </c>
      <c r="AY6">
        <v>2</v>
      </c>
      <c r="AZ6">
        <v>24</v>
      </c>
      <c r="BA6">
        <v>2</v>
      </c>
      <c r="BB6">
        <v>0</v>
      </c>
      <c r="BC6">
        <v>0</v>
      </c>
      <c r="BD6">
        <v>0</v>
      </c>
      <c r="BE6">
        <v>0</v>
      </c>
      <c r="BF6">
        <v>0</v>
      </c>
      <c r="BG6">
        <v>2</v>
      </c>
      <c r="BH6">
        <v>0</v>
      </c>
      <c r="BI6">
        <v>4</v>
      </c>
      <c r="BJ6">
        <v>24</v>
      </c>
      <c r="BK6">
        <v>6.6784325937525901</v>
      </c>
      <c r="BL6">
        <v>5</v>
      </c>
      <c r="BM6">
        <v>2</v>
      </c>
      <c r="BN6">
        <v>4.51690226003634</v>
      </c>
      <c r="BO6">
        <v>23784.3472105115</v>
      </c>
      <c r="BP6" t="s">
        <v>111</v>
      </c>
      <c r="BQ6" t="s">
        <v>803</v>
      </c>
      <c r="BR6" cm="1">
        <f t="array" ref="BR6">IF($AP6="ארצי",SUMPRODUCT(($AP$2:$AP$143="ארצי")*($BK$2:$BK$143&gt;$BK6))+1,SUMPRODUCT(($AP$2:$AP$143=$AP6)*($L$2:$L$143=$L6)*($BK$2:$BK$143&gt;$BK6))+1)</f>
        <v>1</v>
      </c>
    </row>
    <row r="7" spans="1:70" x14ac:dyDescent="0.25">
      <c r="A7">
        <v>492</v>
      </c>
      <c r="B7">
        <v>34.957524306139</v>
      </c>
      <c r="C7">
        <v>32.793491212098999</v>
      </c>
      <c r="D7" t="s">
        <v>112</v>
      </c>
      <c r="E7" t="s">
        <v>113</v>
      </c>
      <c r="F7" t="s">
        <v>114</v>
      </c>
      <c r="G7" t="s">
        <v>115</v>
      </c>
      <c r="H7" t="s">
        <v>116</v>
      </c>
      <c r="I7" t="s">
        <v>117</v>
      </c>
      <c r="J7" t="s">
        <v>74</v>
      </c>
      <c r="K7" t="s">
        <v>86</v>
      </c>
      <c r="L7" t="s">
        <v>86</v>
      </c>
      <c r="M7" t="s">
        <v>76</v>
      </c>
      <c r="N7" t="s">
        <v>77</v>
      </c>
      <c r="O7">
        <v>145027.99232409999</v>
      </c>
      <c r="P7">
        <v>121406.5556969</v>
      </c>
      <c r="Q7">
        <v>0.83712498360721799</v>
      </c>
      <c r="R7">
        <v>5.2</v>
      </c>
      <c r="S7">
        <v>0</v>
      </c>
      <c r="T7">
        <v>0</v>
      </c>
      <c r="U7">
        <v>5.2</v>
      </c>
      <c r="V7">
        <v>5.2</v>
      </c>
      <c r="W7">
        <v>5.2</v>
      </c>
      <c r="X7">
        <v>0</v>
      </c>
      <c r="Y7">
        <v>5.2</v>
      </c>
      <c r="Z7">
        <v>2129.4954195822002</v>
      </c>
      <c r="AA7">
        <v>10490.252675154899</v>
      </c>
      <c r="AB7">
        <v>3264.3972857085</v>
      </c>
      <c r="AC7">
        <v>10442.1773838278</v>
      </c>
      <c r="AD7">
        <v>2787.80208814143</v>
      </c>
      <c r="AE7">
        <v>4118.0364530754096</v>
      </c>
      <c r="AF7">
        <v>8181.6947934321397</v>
      </c>
      <c r="AG7">
        <v>25050.466512058101</v>
      </c>
      <c r="AH7">
        <v>1</v>
      </c>
      <c r="AI7">
        <v>3</v>
      </c>
      <c r="AJ7">
        <v>3</v>
      </c>
      <c r="AK7">
        <v>5</v>
      </c>
      <c r="AL7">
        <v>218.4</v>
      </c>
      <c r="AM7">
        <v>3</v>
      </c>
      <c r="AN7" t="s">
        <v>78</v>
      </c>
      <c r="AO7" t="b">
        <v>0</v>
      </c>
      <c r="AP7" t="s">
        <v>78</v>
      </c>
      <c r="AQ7">
        <v>3</v>
      </c>
      <c r="AR7">
        <v>10</v>
      </c>
      <c r="AS7">
        <v>7.4329790881042097</v>
      </c>
      <c r="AT7">
        <v>10</v>
      </c>
      <c r="AU7">
        <v>4.1628478563212497</v>
      </c>
      <c r="AV7">
        <v>2.0098401261409902</v>
      </c>
      <c r="AW7">
        <v>6.6407629923378497</v>
      </c>
      <c r="AX7">
        <v>6</v>
      </c>
      <c r="AY7">
        <v>4</v>
      </c>
      <c r="AZ7">
        <v>26</v>
      </c>
      <c r="BA7">
        <v>1</v>
      </c>
      <c r="BB7">
        <v>0</v>
      </c>
      <c r="BC7">
        <v>0</v>
      </c>
      <c r="BD7">
        <v>0</v>
      </c>
      <c r="BE7">
        <v>0</v>
      </c>
      <c r="BF7">
        <v>0</v>
      </c>
      <c r="BG7">
        <v>1</v>
      </c>
      <c r="BH7">
        <v>0</v>
      </c>
      <c r="BI7">
        <v>2</v>
      </c>
      <c r="BJ7">
        <v>26</v>
      </c>
      <c r="BK7">
        <v>6.6407629923378497</v>
      </c>
      <c r="BL7">
        <v>6</v>
      </c>
      <c r="BM7">
        <v>4</v>
      </c>
      <c r="BN7">
        <v>5.1614518349149296</v>
      </c>
      <c r="BO7">
        <v>21676.712168332899</v>
      </c>
      <c r="BP7" t="s">
        <v>118</v>
      </c>
      <c r="BQ7" t="s">
        <v>804</v>
      </c>
      <c r="BR7" cm="1">
        <f t="array" ref="BR7">IF($AP7="ארצי",SUMPRODUCT(($AP$2:$AP$143="ארצי")*($BK$2:$BK$143&gt;$BK7))+1,SUMPRODUCT(($AP$2:$AP$143=$AP7)*($L$2:$L$143=$L7)*($BK$2:$BK$143&gt;$BK7))+1)</f>
        <v>4</v>
      </c>
    </row>
    <row r="8" spans="1:70" x14ac:dyDescent="0.25">
      <c r="A8">
        <v>798</v>
      </c>
      <c r="B8">
        <v>35.224146182119803</v>
      </c>
      <c r="C8">
        <v>31.767850043608998</v>
      </c>
      <c r="D8" t="s">
        <v>119</v>
      </c>
      <c r="E8" t="s">
        <v>120</v>
      </c>
      <c r="F8" t="s">
        <v>121</v>
      </c>
      <c r="G8" t="s">
        <v>122</v>
      </c>
      <c r="H8" t="s">
        <v>123</v>
      </c>
      <c r="I8" t="s">
        <v>124</v>
      </c>
      <c r="J8" t="s">
        <v>74</v>
      </c>
      <c r="K8" t="s">
        <v>75</v>
      </c>
      <c r="L8" t="s">
        <v>75</v>
      </c>
      <c r="M8" t="s">
        <v>76</v>
      </c>
      <c r="N8" t="s">
        <v>77</v>
      </c>
      <c r="O8">
        <v>82767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8</v>
      </c>
      <c r="X8">
        <v>0</v>
      </c>
      <c r="Y8">
        <v>6</v>
      </c>
      <c r="Z8">
        <v>14811.6606276567</v>
      </c>
      <c r="AA8">
        <v>6634.8621820707904</v>
      </c>
      <c r="AB8">
        <v>28080.818596184999</v>
      </c>
      <c r="AC8">
        <v>12741.982626221101</v>
      </c>
      <c r="AD8">
        <v>22997.685253911699</v>
      </c>
      <c r="AE8">
        <v>10739.869567317401</v>
      </c>
      <c r="AF8">
        <v>65890.164477753395</v>
      </c>
      <c r="AG8">
        <v>30116.714375609299</v>
      </c>
      <c r="AH8">
        <v>1</v>
      </c>
      <c r="AI8">
        <v>3</v>
      </c>
      <c r="AJ8">
        <v>3</v>
      </c>
      <c r="AK8">
        <v>2</v>
      </c>
      <c r="AL8">
        <v>83.6</v>
      </c>
      <c r="AM8">
        <v>2</v>
      </c>
      <c r="AN8" t="s">
        <v>103</v>
      </c>
      <c r="AO8" t="b">
        <v>0</v>
      </c>
      <c r="AP8" t="s">
        <v>103</v>
      </c>
      <c r="AQ8">
        <v>2</v>
      </c>
      <c r="AR8">
        <v>10</v>
      </c>
      <c r="AS8">
        <v>3.27391155296537</v>
      </c>
      <c r="AT8">
        <v>7</v>
      </c>
      <c r="AU8">
        <v>7.1300999849960398</v>
      </c>
      <c r="AV8">
        <v>2.7600117220353999</v>
      </c>
      <c r="AW8">
        <v>6.1820429756136397</v>
      </c>
      <c r="AX8">
        <v>7</v>
      </c>
      <c r="AY8">
        <v>3</v>
      </c>
      <c r="AZ8">
        <v>14</v>
      </c>
      <c r="BA8">
        <v>4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4</v>
      </c>
      <c r="BJ8">
        <v>14</v>
      </c>
      <c r="BK8">
        <v>6.1820429756136397</v>
      </c>
      <c r="BL8">
        <v>7</v>
      </c>
      <c r="BM8">
        <v>3</v>
      </c>
      <c r="BN8">
        <v>4.9178572139029901</v>
      </c>
      <c r="BO8">
        <v>37271.404396038197</v>
      </c>
      <c r="BP8" t="s">
        <v>125</v>
      </c>
      <c r="BQ8" t="s">
        <v>805</v>
      </c>
      <c r="BR8" cm="1">
        <f t="array" ref="BR8">IF($AP8="ארצי",SUMPRODUCT(($AP$2:$AP$143="ארצי")*($BK$2:$BK$143&gt;$BK8))+1,SUMPRODUCT(($AP$2:$AP$143=$AP8)*($L$2:$L$143=$L8)*($BK$2:$BK$143&gt;$BK8))+1)</f>
        <v>1</v>
      </c>
    </row>
    <row r="9" spans="1:70" x14ac:dyDescent="0.25">
      <c r="A9">
        <v>43</v>
      </c>
      <c r="B9">
        <v>34.905669840042101</v>
      </c>
      <c r="C9">
        <v>32.323824108457998</v>
      </c>
      <c r="D9" t="s">
        <v>126</v>
      </c>
      <c r="E9" t="s">
        <v>127</v>
      </c>
      <c r="F9" t="s">
        <v>128</v>
      </c>
      <c r="G9" t="s">
        <v>129</v>
      </c>
      <c r="H9" t="s">
        <v>130</v>
      </c>
      <c r="I9" t="s">
        <v>131</v>
      </c>
      <c r="J9" t="s">
        <v>74</v>
      </c>
      <c r="K9" t="s">
        <v>94</v>
      </c>
      <c r="L9" t="s">
        <v>94</v>
      </c>
      <c r="M9" t="s">
        <v>132</v>
      </c>
      <c r="N9" t="s">
        <v>133</v>
      </c>
      <c r="O9">
        <v>37029.660000000003</v>
      </c>
      <c r="P9">
        <v>33981.71</v>
      </c>
      <c r="Q9">
        <v>0.91768895528611305</v>
      </c>
      <c r="R9">
        <v>1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3236.7406293531299</v>
      </c>
      <c r="AA9">
        <v>1513.72544425819</v>
      </c>
      <c r="AB9">
        <v>5119.1594205069696</v>
      </c>
      <c r="AC9">
        <v>2403.4766195011298</v>
      </c>
      <c r="AD9">
        <v>3309.9692817119098</v>
      </c>
      <c r="AE9">
        <v>1520.28787318695</v>
      </c>
      <c r="AF9">
        <v>11665.869331571999</v>
      </c>
      <c r="AG9">
        <v>5437.4899369462701</v>
      </c>
      <c r="AH9">
        <v>0</v>
      </c>
      <c r="AI9">
        <v>2</v>
      </c>
      <c r="AJ9">
        <v>0</v>
      </c>
      <c r="AK9">
        <v>2</v>
      </c>
      <c r="AL9">
        <v>9.9</v>
      </c>
      <c r="AM9">
        <v>3</v>
      </c>
      <c r="AN9" t="s">
        <v>134</v>
      </c>
      <c r="AO9" t="b">
        <v>0</v>
      </c>
      <c r="AP9" t="s">
        <v>134</v>
      </c>
      <c r="AQ9">
        <v>3</v>
      </c>
      <c r="AR9">
        <v>1</v>
      </c>
      <c r="AS9">
        <v>1</v>
      </c>
      <c r="AT9">
        <v>10</v>
      </c>
      <c r="AU9">
        <v>10</v>
      </c>
      <c r="AV9">
        <v>1.28858622570426</v>
      </c>
      <c r="AW9">
        <v>5.9427131643555402</v>
      </c>
      <c r="AX9">
        <v>8</v>
      </c>
      <c r="AY9">
        <v>1</v>
      </c>
      <c r="AZ9">
        <v>2</v>
      </c>
      <c r="BA9">
        <v>0</v>
      </c>
      <c r="BB9">
        <v>1</v>
      </c>
      <c r="BC9">
        <v>1</v>
      </c>
      <c r="BD9">
        <v>0</v>
      </c>
      <c r="BE9">
        <v>0</v>
      </c>
      <c r="BF9">
        <v>0</v>
      </c>
      <c r="BG9">
        <v>0</v>
      </c>
      <c r="BH9">
        <v>0</v>
      </c>
      <c r="BI9">
        <v>2</v>
      </c>
      <c r="BJ9">
        <v>2</v>
      </c>
      <c r="BK9">
        <v>5.9427131643555402</v>
      </c>
      <c r="BL9">
        <v>8</v>
      </c>
      <c r="BM9">
        <v>1</v>
      </c>
      <c r="BN9">
        <v>4.5685497244501496</v>
      </c>
      <c r="BO9">
        <v>6683.1658158714199</v>
      </c>
      <c r="BP9" t="s">
        <v>135</v>
      </c>
      <c r="BQ9" t="s">
        <v>806</v>
      </c>
      <c r="BR9" cm="1">
        <f t="array" ref="BR9">IF($AP9="ארצי",SUMPRODUCT(($AP$2:$AP$143="ארצי")*($BK$2:$BK$143&gt;$BK9))+1,SUMPRODUCT(($AP$2:$AP$143=$AP9)*($L$2:$L$143=$L9)*($BK$2:$BK$143&gt;$BK9))+1)</f>
        <v>1</v>
      </c>
    </row>
    <row r="10" spans="1:70" x14ac:dyDescent="0.25">
      <c r="A10">
        <v>538</v>
      </c>
      <c r="B10">
        <v>35.089992366373302</v>
      </c>
      <c r="C10">
        <v>32.859519627536599</v>
      </c>
      <c r="D10" t="s">
        <v>136</v>
      </c>
      <c r="E10" t="s">
        <v>137</v>
      </c>
      <c r="F10" t="s">
        <v>138</v>
      </c>
      <c r="G10" t="s">
        <v>139</v>
      </c>
      <c r="H10" t="s">
        <v>140</v>
      </c>
      <c r="I10" t="s">
        <v>141</v>
      </c>
      <c r="J10" t="s">
        <v>74</v>
      </c>
      <c r="K10" t="s">
        <v>86</v>
      </c>
      <c r="L10" t="s">
        <v>86</v>
      </c>
      <c r="M10" t="s">
        <v>142</v>
      </c>
      <c r="N10" t="s">
        <v>133</v>
      </c>
      <c r="O10">
        <v>15316.333161</v>
      </c>
      <c r="P10">
        <v>8705.9663450000007</v>
      </c>
      <c r="Q10">
        <v>0.56841061456981101</v>
      </c>
      <c r="R10">
        <v>12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9418.3090477917594</v>
      </c>
      <c r="AA10">
        <v>2625.4620391462199</v>
      </c>
      <c r="AB10">
        <v>13380.248396500499</v>
      </c>
      <c r="AC10">
        <v>7262.6575419660403</v>
      </c>
      <c r="AD10">
        <v>6447.8121966462804</v>
      </c>
      <c r="AE10">
        <v>4736.3175649211898</v>
      </c>
      <c r="AF10">
        <v>29246.369640938501</v>
      </c>
      <c r="AG10">
        <v>14624.4371460334</v>
      </c>
      <c r="AH10">
        <v>1</v>
      </c>
      <c r="AI10">
        <v>2</v>
      </c>
      <c r="AJ10">
        <v>2</v>
      </c>
      <c r="AK10">
        <v>2</v>
      </c>
      <c r="AL10">
        <v>58.3</v>
      </c>
      <c r="AM10">
        <v>3</v>
      </c>
      <c r="AN10" t="s">
        <v>143</v>
      </c>
      <c r="AO10" t="b">
        <v>0</v>
      </c>
      <c r="AP10" t="s">
        <v>143</v>
      </c>
      <c r="AQ10">
        <v>3</v>
      </c>
      <c r="AR10">
        <v>7</v>
      </c>
      <c r="AS10">
        <v>2.4933150497085999</v>
      </c>
      <c r="AT10">
        <v>10</v>
      </c>
      <c r="AU10">
        <v>6.3357528359503199</v>
      </c>
      <c r="AV10">
        <v>2.2332975877416099</v>
      </c>
      <c r="AW10">
        <v>5.9092923273997098</v>
      </c>
      <c r="AX10">
        <v>9</v>
      </c>
      <c r="AY10">
        <v>1</v>
      </c>
      <c r="AZ10">
        <v>13</v>
      </c>
      <c r="BA10">
        <v>1</v>
      </c>
      <c r="BB10">
        <v>0</v>
      </c>
      <c r="BC10">
        <v>4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5</v>
      </c>
      <c r="BJ10">
        <v>13</v>
      </c>
      <c r="BK10">
        <v>5.9092923273997098</v>
      </c>
      <c r="BL10">
        <v>9</v>
      </c>
      <c r="BM10">
        <v>1</v>
      </c>
      <c r="BN10">
        <v>4.1851548045553901</v>
      </c>
      <c r="BO10">
        <v>26321.983141957498</v>
      </c>
      <c r="BP10" t="s">
        <v>144</v>
      </c>
      <c r="BQ10" t="s">
        <v>807</v>
      </c>
      <c r="BR10" cm="1">
        <f t="array" ref="BR10">IF($AP10="ארצי",SUMPRODUCT(($AP$2:$AP$143="ארצי")*($BK$2:$BK$143&gt;$BK10))+1,SUMPRODUCT(($AP$2:$AP$143=$AP10)*($L$2:$L$143=$L10)*($BK$2:$BK$143&gt;$BK10))+1)</f>
        <v>1</v>
      </c>
    </row>
    <row r="11" spans="1:70" x14ac:dyDescent="0.25">
      <c r="A11">
        <v>634</v>
      </c>
      <c r="B11">
        <v>34.808885221240999</v>
      </c>
      <c r="C11">
        <v>32.133363417239799</v>
      </c>
      <c r="D11" t="s">
        <v>145</v>
      </c>
      <c r="E11" t="s">
        <v>146</v>
      </c>
      <c r="F11" t="s">
        <v>147</v>
      </c>
      <c r="G11" t="s">
        <v>148</v>
      </c>
      <c r="H11" t="s">
        <v>149</v>
      </c>
      <c r="I11" t="s">
        <v>150</v>
      </c>
      <c r="J11" t="s">
        <v>74</v>
      </c>
      <c r="K11" t="s">
        <v>94</v>
      </c>
      <c r="L11" t="s">
        <v>94</v>
      </c>
      <c r="M11" t="s">
        <v>142</v>
      </c>
      <c r="N11" t="s">
        <v>133</v>
      </c>
      <c r="O11">
        <v>267278.11</v>
      </c>
      <c r="P11">
        <v>260509.38</v>
      </c>
      <c r="Q11">
        <v>0.974675329752967</v>
      </c>
      <c r="R11">
        <v>0</v>
      </c>
      <c r="S11">
        <v>0</v>
      </c>
      <c r="T11">
        <v>0</v>
      </c>
      <c r="U11">
        <v>9.3333333333333304</v>
      </c>
      <c r="V11">
        <v>9.3333333333333304</v>
      </c>
      <c r="W11">
        <v>0</v>
      </c>
      <c r="X11">
        <v>6</v>
      </c>
      <c r="Y11">
        <v>9.3333333333333304</v>
      </c>
      <c r="Z11">
        <v>13250.6553025182</v>
      </c>
      <c r="AA11">
        <v>5025.80161648383</v>
      </c>
      <c r="AB11">
        <v>20570.681383832401</v>
      </c>
      <c r="AC11">
        <v>8873.7295480002103</v>
      </c>
      <c r="AD11">
        <v>10990.4856582723</v>
      </c>
      <c r="AE11">
        <v>5678.0561192931</v>
      </c>
      <c r="AF11">
        <v>44811.822344622997</v>
      </c>
      <c r="AG11">
        <v>19577.587283777098</v>
      </c>
      <c r="AH11">
        <v>0</v>
      </c>
      <c r="AI11">
        <v>2</v>
      </c>
      <c r="AJ11">
        <v>0</v>
      </c>
      <c r="AK11">
        <v>4</v>
      </c>
      <c r="AL11">
        <v>301.60000000000002</v>
      </c>
      <c r="AM11">
        <v>3</v>
      </c>
      <c r="AN11" t="s">
        <v>78</v>
      </c>
      <c r="AO11" t="b">
        <v>0</v>
      </c>
      <c r="AP11" t="s">
        <v>78</v>
      </c>
      <c r="AQ11">
        <v>3</v>
      </c>
      <c r="AR11">
        <v>1</v>
      </c>
      <c r="AS11">
        <v>10</v>
      </c>
      <c r="AT11">
        <v>10</v>
      </c>
      <c r="AU11">
        <v>6.2732008202800902</v>
      </c>
      <c r="AV11">
        <v>2.1516382059258801</v>
      </c>
      <c r="AW11">
        <v>5.8322267893836202</v>
      </c>
      <c r="AX11">
        <v>10</v>
      </c>
      <c r="AY11">
        <v>5</v>
      </c>
      <c r="AZ11">
        <v>34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6</v>
      </c>
      <c r="BG11">
        <v>0</v>
      </c>
      <c r="BH11">
        <v>0</v>
      </c>
      <c r="BI11">
        <v>6</v>
      </c>
      <c r="BJ11">
        <v>34</v>
      </c>
      <c r="BK11">
        <v>5.8322267893836202</v>
      </c>
      <c r="BL11">
        <v>10</v>
      </c>
      <c r="BM11">
        <v>5</v>
      </c>
      <c r="BN11">
        <v>5.4269633916203697</v>
      </c>
      <c r="BO11">
        <v>24624.434295946299</v>
      </c>
      <c r="BP11" t="s">
        <v>151</v>
      </c>
      <c r="BQ11" t="s">
        <v>808</v>
      </c>
      <c r="BR11" cm="1">
        <f t="array" ref="BR11">IF($AP11="ארצי",SUMPRODUCT(($AP$2:$AP$143="ארצי")*($BK$2:$BK$143&gt;$BK11))+1,SUMPRODUCT(($AP$2:$AP$143=$AP11)*($L$2:$L$143=$L11)*($BK$2:$BK$143&gt;$BK11))+1)</f>
        <v>5</v>
      </c>
    </row>
    <row r="12" spans="1:70" x14ac:dyDescent="0.25">
      <c r="A12">
        <v>154</v>
      </c>
      <c r="B12">
        <v>34.870144740043699</v>
      </c>
      <c r="C12">
        <v>32.2944200986365</v>
      </c>
      <c r="D12" t="s">
        <v>152</v>
      </c>
      <c r="E12" t="s">
        <v>153</v>
      </c>
      <c r="F12" t="s">
        <v>128</v>
      </c>
      <c r="G12" t="s">
        <v>129</v>
      </c>
      <c r="H12" t="s">
        <v>154</v>
      </c>
      <c r="I12" t="s">
        <v>155</v>
      </c>
      <c r="J12" t="s">
        <v>74</v>
      </c>
      <c r="K12" t="s">
        <v>94</v>
      </c>
      <c r="L12" t="s">
        <v>94</v>
      </c>
      <c r="M12" t="s">
        <v>132</v>
      </c>
      <c r="N12" t="s">
        <v>133</v>
      </c>
      <c r="O12">
        <v>11865.45</v>
      </c>
      <c r="P12">
        <v>6537.21</v>
      </c>
      <c r="Q12">
        <v>0.55094497048152402</v>
      </c>
      <c r="R12">
        <v>2</v>
      </c>
      <c r="S12">
        <v>0</v>
      </c>
      <c r="T12">
        <v>0</v>
      </c>
      <c r="U12">
        <v>0</v>
      </c>
      <c r="V12">
        <v>0</v>
      </c>
      <c r="W12">
        <v>2</v>
      </c>
      <c r="X12">
        <v>0</v>
      </c>
      <c r="Y12">
        <v>0</v>
      </c>
      <c r="Z12">
        <v>7603.8776439350104</v>
      </c>
      <c r="AA12">
        <v>4530.1894853756003</v>
      </c>
      <c r="AB12">
        <v>11314.631422284499</v>
      </c>
      <c r="AC12">
        <v>9757.6629193417903</v>
      </c>
      <c r="AD12">
        <v>8328.3878003461996</v>
      </c>
      <c r="AE12">
        <v>6586.7882900434897</v>
      </c>
      <c r="AF12">
        <v>27246.896866565701</v>
      </c>
      <c r="AG12">
        <v>20874.640694760801</v>
      </c>
      <c r="AH12">
        <v>0</v>
      </c>
      <c r="AI12">
        <v>2</v>
      </c>
      <c r="AJ12">
        <v>0</v>
      </c>
      <c r="AK12">
        <v>2</v>
      </c>
      <c r="AL12">
        <v>19.8</v>
      </c>
      <c r="AM12">
        <v>1</v>
      </c>
      <c r="AN12" t="s">
        <v>134</v>
      </c>
      <c r="AO12" t="b">
        <v>0</v>
      </c>
      <c r="AP12" t="s">
        <v>134</v>
      </c>
      <c r="AQ12">
        <v>1</v>
      </c>
      <c r="AR12">
        <v>1</v>
      </c>
      <c r="AS12">
        <v>1.3054508056222101</v>
      </c>
      <c r="AT12">
        <v>4</v>
      </c>
      <c r="AU12">
        <v>6.9750808565717701</v>
      </c>
      <c r="AV12">
        <v>2.0325636190990402</v>
      </c>
      <c r="AW12">
        <v>5.7788792117044503</v>
      </c>
      <c r="AX12">
        <v>11</v>
      </c>
      <c r="AY12">
        <v>2</v>
      </c>
      <c r="AZ12">
        <v>4</v>
      </c>
      <c r="BA12">
        <v>0</v>
      </c>
      <c r="BB12">
        <v>0</v>
      </c>
      <c r="BC12">
        <v>2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2</v>
      </c>
      <c r="BJ12">
        <v>4</v>
      </c>
      <c r="BK12">
        <v>5.7788792117044503</v>
      </c>
      <c r="BL12">
        <v>11</v>
      </c>
      <c r="BM12">
        <v>2</v>
      </c>
      <c r="BN12">
        <v>4.0742842135867203</v>
      </c>
      <c r="BO12">
        <v>22149.091929121802</v>
      </c>
      <c r="BP12" t="s">
        <v>156</v>
      </c>
      <c r="BQ12" t="s">
        <v>809</v>
      </c>
      <c r="BR12" cm="1">
        <f t="array" ref="BR12">IF($AP12="ארצי",SUMPRODUCT(($AP$2:$AP$143="ארצי")*($BK$2:$BK$143&gt;$BK12))+1,SUMPRODUCT(($AP$2:$AP$143=$AP12)*($L$2:$L$143=$L12)*($BK$2:$BK$143&gt;$BK12))+1)</f>
        <v>2</v>
      </c>
    </row>
    <row r="13" spans="1:70" x14ac:dyDescent="0.25">
      <c r="A13">
        <v>591</v>
      </c>
      <c r="B13">
        <v>34.794528947505697</v>
      </c>
      <c r="C13">
        <v>32.072632670908902</v>
      </c>
      <c r="D13" t="s">
        <v>157</v>
      </c>
      <c r="E13" t="s">
        <v>158</v>
      </c>
      <c r="F13" t="s">
        <v>159</v>
      </c>
      <c r="G13" t="s">
        <v>160</v>
      </c>
      <c r="H13" t="s">
        <v>161</v>
      </c>
      <c r="I13" t="s">
        <v>162</v>
      </c>
      <c r="J13" t="s">
        <v>74</v>
      </c>
      <c r="K13" t="s">
        <v>94</v>
      </c>
      <c r="L13" t="s">
        <v>94</v>
      </c>
      <c r="M13" t="s">
        <v>76</v>
      </c>
      <c r="N13" t="s">
        <v>77</v>
      </c>
      <c r="O13">
        <v>786767.14</v>
      </c>
      <c r="P13">
        <v>627653.35</v>
      </c>
      <c r="Q13">
        <v>0.79776253746438797</v>
      </c>
      <c r="R13">
        <v>0</v>
      </c>
      <c r="S13">
        <v>0</v>
      </c>
      <c r="T13">
        <v>0</v>
      </c>
      <c r="U13">
        <v>10</v>
      </c>
      <c r="V13">
        <v>0</v>
      </c>
      <c r="W13">
        <v>0</v>
      </c>
      <c r="X13">
        <v>6</v>
      </c>
      <c r="Y13">
        <v>10</v>
      </c>
      <c r="Z13">
        <v>17985.147837490302</v>
      </c>
      <c r="AA13">
        <v>59465.717203046603</v>
      </c>
      <c r="AB13">
        <v>35361.031452884701</v>
      </c>
      <c r="AC13">
        <v>88079.874260596902</v>
      </c>
      <c r="AD13">
        <v>27328.8125826217</v>
      </c>
      <c r="AE13">
        <v>48361.006591140896</v>
      </c>
      <c r="AF13">
        <v>80674.991872996805</v>
      </c>
      <c r="AG13">
        <v>195906.598054784</v>
      </c>
      <c r="AH13">
        <v>0</v>
      </c>
      <c r="AI13">
        <v>3</v>
      </c>
      <c r="AJ13">
        <v>0</v>
      </c>
      <c r="AK13">
        <v>3</v>
      </c>
      <c r="AL13">
        <v>211.2</v>
      </c>
      <c r="AM13">
        <v>0</v>
      </c>
      <c r="AN13" t="s">
        <v>78</v>
      </c>
      <c r="AO13" t="b">
        <v>0</v>
      </c>
      <c r="AP13" t="s">
        <v>78</v>
      </c>
      <c r="AQ13">
        <v>0</v>
      </c>
      <c r="AR13">
        <v>1</v>
      </c>
      <c r="AS13">
        <v>7.2108330476516898</v>
      </c>
      <c r="AT13">
        <v>1</v>
      </c>
      <c r="AU13">
        <v>10</v>
      </c>
      <c r="AV13">
        <v>9.2824181488786</v>
      </c>
      <c r="AW13">
        <v>5.7392365870469</v>
      </c>
      <c r="AX13">
        <v>12</v>
      </c>
      <c r="AY13">
        <v>6</v>
      </c>
      <c r="AZ13">
        <v>26</v>
      </c>
      <c r="BA13">
        <v>0</v>
      </c>
      <c r="BB13">
        <v>2</v>
      </c>
      <c r="BC13">
        <v>0</v>
      </c>
      <c r="BD13">
        <v>0</v>
      </c>
      <c r="BE13">
        <v>0</v>
      </c>
      <c r="BF13">
        <v>4</v>
      </c>
      <c r="BG13">
        <v>0</v>
      </c>
      <c r="BH13">
        <v>0</v>
      </c>
      <c r="BI13">
        <v>6</v>
      </c>
      <c r="BJ13">
        <v>26</v>
      </c>
      <c r="BK13">
        <v>5.7392365870469</v>
      </c>
      <c r="BL13">
        <v>12</v>
      </c>
      <c r="BM13">
        <v>6</v>
      </c>
      <c r="BN13">
        <v>5.8958462129469797</v>
      </c>
      <c r="BO13">
        <v>172860.27681842601</v>
      </c>
      <c r="BP13" t="s">
        <v>163</v>
      </c>
      <c r="BQ13" t="s">
        <v>810</v>
      </c>
      <c r="BR13" cm="1">
        <f t="array" ref="BR13">IF($AP13="ארצי",SUMPRODUCT(($AP$2:$AP$143="ארצי")*($BK$2:$BK$143&gt;$BK13))+1,SUMPRODUCT(($AP$2:$AP$143=$AP13)*($L$2:$L$143=$L13)*($BK$2:$BK$143&gt;$BK13))+1)</f>
        <v>6</v>
      </c>
    </row>
    <row r="14" spans="1:70" x14ac:dyDescent="0.25">
      <c r="A14">
        <v>502</v>
      </c>
      <c r="B14">
        <v>35.0056290153248</v>
      </c>
      <c r="C14">
        <v>32.8108750785509</v>
      </c>
      <c r="D14" t="s">
        <v>164</v>
      </c>
      <c r="E14" t="s">
        <v>165</v>
      </c>
      <c r="F14" t="s">
        <v>166</v>
      </c>
      <c r="G14" t="s">
        <v>167</v>
      </c>
      <c r="H14" t="s">
        <v>168</v>
      </c>
      <c r="I14" t="s">
        <v>169</v>
      </c>
      <c r="J14" t="s">
        <v>74</v>
      </c>
      <c r="K14" t="s">
        <v>86</v>
      </c>
      <c r="L14" t="s">
        <v>86</v>
      </c>
      <c r="M14" t="s">
        <v>76</v>
      </c>
      <c r="N14" t="s">
        <v>77</v>
      </c>
      <c r="O14">
        <v>4233.2291475000002</v>
      </c>
      <c r="P14">
        <v>1797.8467334500001</v>
      </c>
      <c r="Q14">
        <v>0.42469865693704401</v>
      </c>
      <c r="R14">
        <v>10</v>
      </c>
      <c r="S14">
        <v>0</v>
      </c>
      <c r="T14">
        <v>0</v>
      </c>
      <c r="U14">
        <v>0</v>
      </c>
      <c r="V14">
        <v>7</v>
      </c>
      <c r="W14">
        <v>4</v>
      </c>
      <c r="X14">
        <v>0</v>
      </c>
      <c r="Y14">
        <v>7</v>
      </c>
      <c r="Z14">
        <v>5897.6852314977396</v>
      </c>
      <c r="AA14">
        <v>15639.509914152</v>
      </c>
      <c r="AB14">
        <v>16894.146021713099</v>
      </c>
      <c r="AC14">
        <v>31213.001228530298</v>
      </c>
      <c r="AD14">
        <v>12242.923563624299</v>
      </c>
      <c r="AE14">
        <v>10616.2050377708</v>
      </c>
      <c r="AF14">
        <v>35034.7548168352</v>
      </c>
      <c r="AG14">
        <v>57468.716180453201</v>
      </c>
      <c r="AH14">
        <v>1</v>
      </c>
      <c r="AI14">
        <v>3</v>
      </c>
      <c r="AJ14">
        <v>3</v>
      </c>
      <c r="AK14">
        <v>4</v>
      </c>
      <c r="AL14">
        <v>196.3</v>
      </c>
      <c r="AM14">
        <v>0</v>
      </c>
      <c r="AN14" t="s">
        <v>143</v>
      </c>
      <c r="AO14" t="b">
        <v>0</v>
      </c>
      <c r="AP14" t="s">
        <v>143</v>
      </c>
      <c r="AQ14">
        <v>0</v>
      </c>
      <c r="AR14">
        <v>10</v>
      </c>
      <c r="AS14">
        <v>6.7511141583818901</v>
      </c>
      <c r="AT14">
        <v>1</v>
      </c>
      <c r="AU14">
        <v>3.5980354623269601</v>
      </c>
      <c r="AV14">
        <v>2.8682532384912101</v>
      </c>
      <c r="AW14">
        <v>5.6223551611698603</v>
      </c>
      <c r="AX14">
        <v>13</v>
      </c>
      <c r="AY14">
        <v>2</v>
      </c>
      <c r="AZ14">
        <v>28</v>
      </c>
      <c r="BA14">
        <v>2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2</v>
      </c>
      <c r="BH14">
        <v>0</v>
      </c>
      <c r="BI14">
        <v>4</v>
      </c>
      <c r="BJ14">
        <v>28</v>
      </c>
      <c r="BK14">
        <v>5.6223551611698603</v>
      </c>
      <c r="BL14">
        <v>13</v>
      </c>
      <c r="BM14">
        <v>2</v>
      </c>
      <c r="BN14">
        <v>3.6266717777584998</v>
      </c>
      <c r="BO14">
        <v>39521.547089558801</v>
      </c>
      <c r="BP14" t="s">
        <v>170</v>
      </c>
      <c r="BQ14" t="s">
        <v>811</v>
      </c>
      <c r="BR14" cm="1">
        <f t="array" ref="BR14">IF($AP14="ארצי",SUMPRODUCT(($AP$2:$AP$143="ארצי")*($BK$2:$BK$143&gt;$BK14))+1,SUMPRODUCT(($AP$2:$AP$143=$AP14)*($L$2:$L$143=$L14)*($BK$2:$BK$143&gt;$BK14))+1)</f>
        <v>2</v>
      </c>
    </row>
    <row r="15" spans="1:70" x14ac:dyDescent="0.25">
      <c r="A15">
        <v>40</v>
      </c>
      <c r="B15">
        <v>34.871027388161799</v>
      </c>
      <c r="C15">
        <v>32.300839967336003</v>
      </c>
      <c r="D15" t="s">
        <v>171</v>
      </c>
      <c r="E15" t="s">
        <v>172</v>
      </c>
      <c r="F15" t="s">
        <v>128</v>
      </c>
      <c r="G15" t="s">
        <v>129</v>
      </c>
      <c r="H15" t="s">
        <v>154</v>
      </c>
      <c r="I15" t="s">
        <v>155</v>
      </c>
      <c r="J15" t="s">
        <v>74</v>
      </c>
      <c r="K15" t="s">
        <v>94</v>
      </c>
      <c r="L15" t="s">
        <v>94</v>
      </c>
      <c r="M15" t="s">
        <v>132</v>
      </c>
      <c r="N15" t="s">
        <v>133</v>
      </c>
      <c r="O15">
        <v>4014.06</v>
      </c>
      <c r="P15">
        <v>186.41</v>
      </c>
      <c r="Q15">
        <v>4.6439265980079997E-2</v>
      </c>
      <c r="R15">
        <v>1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12163.4537359612</v>
      </c>
      <c r="AA15">
        <v>3942.5543802358702</v>
      </c>
      <c r="AB15">
        <v>18265.817783117101</v>
      </c>
      <c r="AC15">
        <v>9316.6785355549891</v>
      </c>
      <c r="AD15">
        <v>11154.4074022349</v>
      </c>
      <c r="AE15">
        <v>5576.3146022026103</v>
      </c>
      <c r="AF15">
        <v>41583.678921313302</v>
      </c>
      <c r="AG15">
        <v>18835.5475179934</v>
      </c>
      <c r="AH15">
        <v>0</v>
      </c>
      <c r="AI15">
        <v>2</v>
      </c>
      <c r="AJ15">
        <v>0</v>
      </c>
      <c r="AK15">
        <v>2</v>
      </c>
      <c r="AL15">
        <v>9.9</v>
      </c>
      <c r="AM15">
        <v>2</v>
      </c>
      <c r="AN15" t="s">
        <v>134</v>
      </c>
      <c r="AO15" t="b">
        <v>0</v>
      </c>
      <c r="AP15" t="s">
        <v>134</v>
      </c>
      <c r="AQ15">
        <v>2</v>
      </c>
      <c r="AR15">
        <v>1</v>
      </c>
      <c r="AS15">
        <v>1</v>
      </c>
      <c r="AT15">
        <v>7</v>
      </c>
      <c r="AU15">
        <v>4.0943811522712998</v>
      </c>
      <c r="AV15">
        <v>2.0920244596969901</v>
      </c>
      <c r="AW15">
        <v>5.53025668275514</v>
      </c>
      <c r="AX15">
        <v>14</v>
      </c>
      <c r="AY15">
        <v>3</v>
      </c>
      <c r="AZ15">
        <v>2</v>
      </c>
      <c r="BA15">
        <v>0</v>
      </c>
      <c r="BB15">
        <v>0</v>
      </c>
      <c r="BC15">
        <v>2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2</v>
      </c>
      <c r="BJ15">
        <v>2</v>
      </c>
      <c r="BK15">
        <v>5.53025668275514</v>
      </c>
      <c r="BL15">
        <v>14</v>
      </c>
      <c r="BM15">
        <v>3</v>
      </c>
      <c r="BN15">
        <v>3.6035838597992398</v>
      </c>
      <c r="BO15">
        <v>23385.173798657401</v>
      </c>
      <c r="BP15" t="s">
        <v>173</v>
      </c>
      <c r="BQ15" t="s">
        <v>809</v>
      </c>
      <c r="BR15" cm="1">
        <f t="array" ref="BR15">IF($AP15="ארצי",SUMPRODUCT(($AP$2:$AP$143="ארצי")*($BK$2:$BK$143&gt;$BK15))+1,SUMPRODUCT(($AP$2:$AP$143=$AP15)*($L$2:$L$143=$L15)*($BK$2:$BK$143&gt;$BK15))+1)</f>
        <v>3</v>
      </c>
    </row>
    <row r="16" spans="1:70" x14ac:dyDescent="0.25">
      <c r="A16">
        <v>1020</v>
      </c>
      <c r="B16">
        <v>34.809136092109703</v>
      </c>
      <c r="C16">
        <v>31.260928579324901</v>
      </c>
      <c r="D16" t="s">
        <v>174</v>
      </c>
      <c r="E16" t="s">
        <v>175</v>
      </c>
      <c r="F16" t="s">
        <v>70</v>
      </c>
      <c r="G16" t="s">
        <v>71</v>
      </c>
      <c r="H16" t="s">
        <v>176</v>
      </c>
      <c r="I16" t="s">
        <v>177</v>
      </c>
      <c r="J16" t="s">
        <v>74</v>
      </c>
      <c r="K16" t="s">
        <v>102</v>
      </c>
      <c r="L16" t="s">
        <v>102</v>
      </c>
      <c r="M16" t="s">
        <v>76</v>
      </c>
      <c r="N16" t="s">
        <v>77</v>
      </c>
      <c r="O16">
        <v>113284</v>
      </c>
      <c r="P16">
        <v>0</v>
      </c>
      <c r="Q16">
        <v>0</v>
      </c>
      <c r="R16">
        <v>0</v>
      </c>
      <c r="S16">
        <v>0</v>
      </c>
      <c r="T16">
        <v>0</v>
      </c>
      <c r="U16">
        <v>4.6666666666666599</v>
      </c>
      <c r="V16">
        <v>4.6666666666666599</v>
      </c>
      <c r="W16">
        <v>4</v>
      </c>
      <c r="X16">
        <v>0</v>
      </c>
      <c r="Y16">
        <v>4.6666666666666599</v>
      </c>
      <c r="Z16">
        <v>8047.30058441439</v>
      </c>
      <c r="AA16">
        <v>11661.936002583199</v>
      </c>
      <c r="AB16">
        <v>13351.813618148301</v>
      </c>
      <c r="AC16">
        <v>17894.124880881402</v>
      </c>
      <c r="AD16">
        <v>9315.9719791282005</v>
      </c>
      <c r="AE16">
        <v>8928.1986567425392</v>
      </c>
      <c r="AF16">
        <v>30715.086181690898</v>
      </c>
      <c r="AG16">
        <v>38484.259540207197</v>
      </c>
      <c r="AH16">
        <v>1</v>
      </c>
      <c r="AI16">
        <v>3</v>
      </c>
      <c r="AJ16">
        <v>3</v>
      </c>
      <c r="AK16">
        <v>4</v>
      </c>
      <c r="AL16">
        <v>153.4</v>
      </c>
      <c r="AM16">
        <v>2</v>
      </c>
      <c r="AN16" t="s">
        <v>78</v>
      </c>
      <c r="AO16" t="b">
        <v>0</v>
      </c>
      <c r="AP16" t="s">
        <v>78</v>
      </c>
      <c r="AQ16">
        <v>2</v>
      </c>
      <c r="AR16">
        <v>10</v>
      </c>
      <c r="AS16">
        <v>5.4274940006856296</v>
      </c>
      <c r="AT16">
        <v>7</v>
      </c>
      <c r="AU16">
        <v>3.3101333920125602</v>
      </c>
      <c r="AV16">
        <v>2.7436091439913599</v>
      </c>
      <c r="AW16">
        <v>5.5055960950691496</v>
      </c>
      <c r="AX16">
        <v>15</v>
      </c>
      <c r="AY16">
        <v>7</v>
      </c>
      <c r="AZ16">
        <v>18</v>
      </c>
      <c r="BA16">
        <v>4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4</v>
      </c>
      <c r="BJ16">
        <v>18</v>
      </c>
      <c r="BK16">
        <v>5.5055960950691496</v>
      </c>
      <c r="BL16">
        <v>15</v>
      </c>
      <c r="BM16">
        <v>7</v>
      </c>
      <c r="BN16">
        <v>5.0541685753320698</v>
      </c>
      <c r="BO16">
        <v>36930.424868503898</v>
      </c>
      <c r="BP16" t="s">
        <v>178</v>
      </c>
      <c r="BQ16" t="s">
        <v>812</v>
      </c>
      <c r="BR16" cm="1">
        <f t="array" ref="BR16">IF($AP16="ארצי",SUMPRODUCT(($AP$2:$AP$143="ארצי")*($BK$2:$BK$143&gt;$BK16))+1,SUMPRODUCT(($AP$2:$AP$143=$AP16)*($L$2:$L$143=$L16)*($BK$2:$BK$143&gt;$BK16))+1)</f>
        <v>7</v>
      </c>
    </row>
    <row r="17" spans="1:70" x14ac:dyDescent="0.25">
      <c r="A17">
        <v>36</v>
      </c>
      <c r="B17">
        <v>34.870704699792398</v>
      </c>
      <c r="C17">
        <v>32.305937926412099</v>
      </c>
      <c r="D17" t="s">
        <v>179</v>
      </c>
      <c r="E17" t="s">
        <v>180</v>
      </c>
      <c r="F17" t="s">
        <v>128</v>
      </c>
      <c r="G17" t="s">
        <v>129</v>
      </c>
      <c r="H17" t="s">
        <v>154</v>
      </c>
      <c r="I17" t="s">
        <v>155</v>
      </c>
      <c r="J17" t="s">
        <v>74</v>
      </c>
      <c r="K17" t="s">
        <v>94</v>
      </c>
      <c r="L17" t="s">
        <v>94</v>
      </c>
      <c r="M17" t="s">
        <v>132</v>
      </c>
      <c r="N17" t="s">
        <v>133</v>
      </c>
      <c r="O17">
        <v>3396</v>
      </c>
      <c r="P17">
        <v>78.679999999999893</v>
      </c>
      <c r="Q17">
        <v>2.3168433451118901E-2</v>
      </c>
      <c r="R17">
        <v>1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v>10855.327277558599</v>
      </c>
      <c r="AA17">
        <v>5698.7992871763199</v>
      </c>
      <c r="AB17">
        <v>18601.600166758501</v>
      </c>
      <c r="AC17">
        <v>9391.9664856662203</v>
      </c>
      <c r="AD17">
        <v>13573.2736704647</v>
      </c>
      <c r="AE17">
        <v>5685.5097866555798</v>
      </c>
      <c r="AF17">
        <v>43030.201114781899</v>
      </c>
      <c r="AG17">
        <v>20776.275559498099</v>
      </c>
      <c r="AH17">
        <v>0</v>
      </c>
      <c r="AI17">
        <v>2</v>
      </c>
      <c r="AJ17">
        <v>0</v>
      </c>
      <c r="AK17">
        <v>2</v>
      </c>
      <c r="AL17">
        <v>9.9</v>
      </c>
      <c r="AM17">
        <v>2</v>
      </c>
      <c r="AN17" t="s">
        <v>134</v>
      </c>
      <c r="AO17" t="b">
        <v>0</v>
      </c>
      <c r="AP17" t="s">
        <v>134</v>
      </c>
      <c r="AQ17">
        <v>2</v>
      </c>
      <c r="AR17">
        <v>1</v>
      </c>
      <c r="AS17">
        <v>1</v>
      </c>
      <c r="AT17">
        <v>7</v>
      </c>
      <c r="AU17">
        <v>3.6499680528043399</v>
      </c>
      <c r="AV17">
        <v>2.1806271197542002</v>
      </c>
      <c r="AW17">
        <v>5.3810105260886996</v>
      </c>
      <c r="AX17">
        <v>16</v>
      </c>
      <c r="AY17">
        <v>4</v>
      </c>
      <c r="AZ17">
        <v>2</v>
      </c>
      <c r="BA17">
        <v>0</v>
      </c>
      <c r="BB17">
        <v>0</v>
      </c>
      <c r="BC17">
        <v>2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2</v>
      </c>
      <c r="BJ17">
        <v>2</v>
      </c>
      <c r="BK17">
        <v>5.3810105260886996</v>
      </c>
      <c r="BL17">
        <v>16</v>
      </c>
      <c r="BM17">
        <v>4</v>
      </c>
      <c r="BN17">
        <v>3.53096768157191</v>
      </c>
      <c r="BO17">
        <v>25227.060670554802</v>
      </c>
      <c r="BP17" t="s">
        <v>181</v>
      </c>
      <c r="BQ17" t="s">
        <v>809</v>
      </c>
      <c r="BR17" cm="1">
        <f t="array" ref="BR17">IF($AP17="ארצי",SUMPRODUCT(($AP$2:$AP$143="ארצי")*($BK$2:$BK$143&gt;$BK17))+1,SUMPRODUCT(($AP$2:$AP$143=$AP17)*($L$2:$L$143=$L17)*($BK$2:$BK$143&gt;$BK17))+1)</f>
        <v>4</v>
      </c>
    </row>
    <row r="18" spans="1:70" x14ac:dyDescent="0.25">
      <c r="A18">
        <v>510</v>
      </c>
      <c r="B18">
        <v>34.999306824222998</v>
      </c>
      <c r="C18">
        <v>32.818843042082896</v>
      </c>
      <c r="D18" t="s">
        <v>182</v>
      </c>
      <c r="E18" t="s">
        <v>183</v>
      </c>
      <c r="F18" t="s">
        <v>184</v>
      </c>
      <c r="G18" t="s">
        <v>185</v>
      </c>
      <c r="H18" t="s">
        <v>186</v>
      </c>
      <c r="I18" t="s">
        <v>187</v>
      </c>
      <c r="J18" t="s">
        <v>74</v>
      </c>
      <c r="K18" t="s">
        <v>86</v>
      </c>
      <c r="L18" t="s">
        <v>86</v>
      </c>
      <c r="M18" t="s">
        <v>76</v>
      </c>
      <c r="N18" t="s">
        <v>77</v>
      </c>
      <c r="O18">
        <v>3202.2589840000001</v>
      </c>
      <c r="P18">
        <v>1694.3996933999999</v>
      </c>
      <c r="Q18">
        <v>0.52912637668159301</v>
      </c>
      <c r="R18">
        <v>10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7625.1409390164999</v>
      </c>
      <c r="AA18">
        <v>33683.207476903903</v>
      </c>
      <c r="AB18">
        <v>11494.657983949501</v>
      </c>
      <c r="AC18">
        <v>19588.0576397228</v>
      </c>
      <c r="AD18">
        <v>9030.1841244995194</v>
      </c>
      <c r="AE18">
        <v>6827.9401071062803</v>
      </c>
      <c r="AF18">
        <v>28149.983047465601</v>
      </c>
      <c r="AG18">
        <v>60099.205223733101</v>
      </c>
      <c r="AH18">
        <v>1</v>
      </c>
      <c r="AI18">
        <v>3</v>
      </c>
      <c r="AJ18">
        <v>3</v>
      </c>
      <c r="AK18">
        <v>2</v>
      </c>
      <c r="AL18">
        <v>46.2</v>
      </c>
      <c r="AM18">
        <v>2</v>
      </c>
      <c r="AN18" t="s">
        <v>143</v>
      </c>
      <c r="AO18" t="b">
        <v>0</v>
      </c>
      <c r="AP18" t="s">
        <v>143</v>
      </c>
      <c r="AQ18">
        <v>2</v>
      </c>
      <c r="AR18">
        <v>10</v>
      </c>
      <c r="AS18">
        <v>2.1199862872814501</v>
      </c>
      <c r="AT18">
        <v>7</v>
      </c>
      <c r="AU18">
        <v>3.0038306515968598</v>
      </c>
      <c r="AV18">
        <v>2.62861115430041</v>
      </c>
      <c r="AW18">
        <v>5.3515604564606498</v>
      </c>
      <c r="AX18">
        <v>17</v>
      </c>
      <c r="AY18">
        <v>3</v>
      </c>
      <c r="AZ18">
        <v>11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11</v>
      </c>
      <c r="BK18">
        <v>5.3515604564606498</v>
      </c>
      <c r="BL18">
        <v>17</v>
      </c>
      <c r="BM18">
        <v>3</v>
      </c>
      <c r="BN18">
        <v>3.5054564527468401</v>
      </c>
      <c r="BO18">
        <v>34539.827482719098</v>
      </c>
      <c r="BP18" t="s">
        <v>188</v>
      </c>
      <c r="BQ18" t="s">
        <v>813</v>
      </c>
      <c r="BR18" cm="1">
        <f t="array" ref="BR18">IF($AP18="ארצי",SUMPRODUCT(($AP$2:$AP$143="ארצי")*($BK$2:$BK$143&gt;$BK18))+1,SUMPRODUCT(($AP$2:$AP$143=$AP18)*($L$2:$L$143=$L18)*($BK$2:$BK$143&gt;$BK18))+1)</f>
        <v>3</v>
      </c>
    </row>
    <row r="19" spans="1:70" x14ac:dyDescent="0.25">
      <c r="A19">
        <v>270</v>
      </c>
      <c r="B19">
        <v>35.218129711898797</v>
      </c>
      <c r="C19">
        <v>31.782964038883001</v>
      </c>
      <c r="D19" t="s">
        <v>189</v>
      </c>
      <c r="E19" t="s">
        <v>190</v>
      </c>
      <c r="F19" t="s">
        <v>191</v>
      </c>
      <c r="G19" t="s">
        <v>192</v>
      </c>
      <c r="H19" t="s">
        <v>193</v>
      </c>
      <c r="I19" t="s">
        <v>194</v>
      </c>
      <c r="J19" t="s">
        <v>74</v>
      </c>
      <c r="K19" t="s">
        <v>75</v>
      </c>
      <c r="L19" t="s">
        <v>75</v>
      </c>
      <c r="M19" t="s">
        <v>76</v>
      </c>
      <c r="N19" t="s">
        <v>77</v>
      </c>
      <c r="O19">
        <v>176863.2</v>
      </c>
      <c r="P19">
        <v>0</v>
      </c>
      <c r="Q19">
        <v>0</v>
      </c>
      <c r="R19">
        <v>0</v>
      </c>
      <c r="S19">
        <v>0</v>
      </c>
      <c r="T19">
        <v>0</v>
      </c>
      <c r="U19">
        <v>3.5</v>
      </c>
      <c r="V19">
        <v>3.5</v>
      </c>
      <c r="W19">
        <v>7.5</v>
      </c>
      <c r="X19">
        <v>0</v>
      </c>
      <c r="Y19">
        <v>3.5</v>
      </c>
      <c r="Z19">
        <v>32228.556716240499</v>
      </c>
      <c r="AA19">
        <v>32387.625785640899</v>
      </c>
      <c r="AB19">
        <v>60436.692645312498</v>
      </c>
      <c r="AC19">
        <v>43269.327414891501</v>
      </c>
      <c r="AD19">
        <v>34574.1676245048</v>
      </c>
      <c r="AE19">
        <v>25678.7418580841</v>
      </c>
      <c r="AF19">
        <v>127239.416986057</v>
      </c>
      <c r="AG19">
        <v>101335.69505861599</v>
      </c>
      <c r="AH19">
        <v>1</v>
      </c>
      <c r="AI19">
        <v>3</v>
      </c>
      <c r="AJ19">
        <v>3</v>
      </c>
      <c r="AK19">
        <v>4</v>
      </c>
      <c r="AL19">
        <v>144.30000000000001</v>
      </c>
      <c r="AM19">
        <v>0</v>
      </c>
      <c r="AN19" t="s">
        <v>78</v>
      </c>
      <c r="AO19" t="b">
        <v>0</v>
      </c>
      <c r="AP19" t="s">
        <v>78</v>
      </c>
      <c r="AQ19">
        <v>0</v>
      </c>
      <c r="AR19">
        <v>10</v>
      </c>
      <c r="AS19">
        <v>5.1467260884470303</v>
      </c>
      <c r="AT19">
        <v>1</v>
      </c>
      <c r="AU19">
        <v>4.8478731358021596</v>
      </c>
      <c r="AV19">
        <v>6.0909949624411697</v>
      </c>
      <c r="AW19">
        <v>5.32043645348765</v>
      </c>
      <c r="AX19">
        <v>18</v>
      </c>
      <c r="AY19">
        <v>8</v>
      </c>
      <c r="AZ19">
        <v>18</v>
      </c>
      <c r="BA19">
        <v>7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7</v>
      </c>
      <c r="BJ19">
        <v>18</v>
      </c>
      <c r="BK19">
        <v>5.32043645348765</v>
      </c>
      <c r="BL19">
        <v>18</v>
      </c>
      <c r="BM19">
        <v>8</v>
      </c>
      <c r="BN19">
        <v>5.24763747847493</v>
      </c>
      <c r="BO19">
        <v>106516.43944410401</v>
      </c>
      <c r="BP19" t="s">
        <v>195</v>
      </c>
      <c r="BQ19" t="s">
        <v>814</v>
      </c>
      <c r="BR19" cm="1">
        <f t="array" ref="BR19">IF($AP19="ארצי",SUMPRODUCT(($AP$2:$AP$143="ארצי")*($BK$2:$BK$143&gt;$BK19))+1,SUMPRODUCT(($AP$2:$AP$143=$AP19)*($L$2:$L$143=$L19)*($BK$2:$BK$143&gt;$BK19))+1)</f>
        <v>8</v>
      </c>
    </row>
    <row r="20" spans="1:70" x14ac:dyDescent="0.25">
      <c r="A20">
        <v>656</v>
      </c>
      <c r="B20">
        <v>34.776610602135896</v>
      </c>
      <c r="C20">
        <v>32.037641789187603</v>
      </c>
      <c r="D20" t="s">
        <v>196</v>
      </c>
      <c r="E20" t="s">
        <v>197</v>
      </c>
      <c r="F20" t="s">
        <v>198</v>
      </c>
      <c r="G20" t="s">
        <v>199</v>
      </c>
      <c r="H20" t="s">
        <v>200</v>
      </c>
      <c r="I20" t="s">
        <v>201</v>
      </c>
      <c r="J20" t="s">
        <v>74</v>
      </c>
      <c r="K20" t="s">
        <v>94</v>
      </c>
      <c r="L20" t="s">
        <v>94</v>
      </c>
      <c r="M20" t="s">
        <v>142</v>
      </c>
      <c r="N20" t="s">
        <v>133</v>
      </c>
      <c r="O20">
        <v>111174.24</v>
      </c>
      <c r="P20">
        <v>105713.82</v>
      </c>
      <c r="Q20">
        <v>0.95088412567515601</v>
      </c>
      <c r="R20">
        <v>0</v>
      </c>
      <c r="S20">
        <v>0</v>
      </c>
      <c r="T20">
        <v>0</v>
      </c>
      <c r="U20">
        <v>0</v>
      </c>
      <c r="V20">
        <v>0</v>
      </c>
      <c r="W20">
        <v>6</v>
      </c>
      <c r="X20">
        <v>4</v>
      </c>
      <c r="Y20">
        <v>4</v>
      </c>
      <c r="Z20">
        <v>3129.4373869030601</v>
      </c>
      <c r="AA20">
        <v>5789.5166193249997</v>
      </c>
      <c r="AB20">
        <v>13884.487260444601</v>
      </c>
      <c r="AC20">
        <v>10425.5430663799</v>
      </c>
      <c r="AD20">
        <v>13831.231484461299</v>
      </c>
      <c r="AE20">
        <v>8064.9714230813497</v>
      </c>
      <c r="AF20">
        <v>30845.156131808999</v>
      </c>
      <c r="AG20">
        <v>24280.031108786301</v>
      </c>
      <c r="AH20">
        <v>0</v>
      </c>
      <c r="AI20">
        <v>2</v>
      </c>
      <c r="AJ20">
        <v>0</v>
      </c>
      <c r="AK20">
        <v>3</v>
      </c>
      <c r="AL20">
        <v>93.6</v>
      </c>
      <c r="AM20">
        <v>3</v>
      </c>
      <c r="AN20" t="s">
        <v>103</v>
      </c>
      <c r="AO20" t="b">
        <v>0</v>
      </c>
      <c r="AP20" t="s">
        <v>103</v>
      </c>
      <c r="AQ20">
        <v>3</v>
      </c>
      <c r="AR20">
        <v>1</v>
      </c>
      <c r="AS20">
        <v>3.5824477202605398</v>
      </c>
      <c r="AT20">
        <v>10</v>
      </c>
      <c r="AU20">
        <v>7.78061168780079</v>
      </c>
      <c r="AV20">
        <v>2.1982330706401498</v>
      </c>
      <c r="AW20">
        <v>5.1181593731525803</v>
      </c>
      <c r="AX20">
        <v>19</v>
      </c>
      <c r="AY20">
        <v>4</v>
      </c>
      <c r="AZ20">
        <v>14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4</v>
      </c>
      <c r="BG20">
        <v>6</v>
      </c>
      <c r="BH20">
        <v>0</v>
      </c>
      <c r="BI20">
        <v>10</v>
      </c>
      <c r="BJ20">
        <v>14</v>
      </c>
      <c r="BK20">
        <v>5.1181593731525803</v>
      </c>
      <c r="BL20">
        <v>19</v>
      </c>
      <c r="BM20">
        <v>4</v>
      </c>
      <c r="BN20">
        <v>5.0460041692436599</v>
      </c>
      <c r="BO20">
        <v>25593.056113390801</v>
      </c>
      <c r="BP20" t="s">
        <v>202</v>
      </c>
      <c r="BQ20" t="s">
        <v>815</v>
      </c>
      <c r="BR20" cm="1">
        <f t="array" ref="BR20">IF($AP20="ארצי",SUMPRODUCT(($AP$2:$AP$143="ארצי")*($BK$2:$BK$143&gt;$BK20))+1,SUMPRODUCT(($AP$2:$AP$143=$AP20)*($L$2:$L$143=$L20)*($BK$2:$BK$143&gt;$BK20))+1)</f>
        <v>1</v>
      </c>
    </row>
    <row r="21" spans="1:70" x14ac:dyDescent="0.25">
      <c r="A21">
        <v>589</v>
      </c>
      <c r="B21">
        <v>34.7845861504073</v>
      </c>
      <c r="C21">
        <v>32.067139534476603</v>
      </c>
      <c r="D21" t="s">
        <v>203</v>
      </c>
      <c r="E21" t="s">
        <v>204</v>
      </c>
      <c r="F21" t="s">
        <v>205</v>
      </c>
      <c r="G21" t="s">
        <v>206</v>
      </c>
      <c r="H21" t="s">
        <v>207</v>
      </c>
      <c r="I21" t="s">
        <v>208</v>
      </c>
      <c r="J21" t="s">
        <v>74</v>
      </c>
      <c r="K21" t="s">
        <v>94</v>
      </c>
      <c r="L21" t="s">
        <v>94</v>
      </c>
      <c r="M21" t="s">
        <v>76</v>
      </c>
      <c r="N21" t="s">
        <v>77</v>
      </c>
      <c r="O21">
        <v>218051.81</v>
      </c>
      <c r="P21">
        <v>127027.56</v>
      </c>
      <c r="Q21">
        <v>0.58255677859312405</v>
      </c>
      <c r="R21">
        <v>0</v>
      </c>
      <c r="S21">
        <v>0</v>
      </c>
      <c r="T21">
        <v>0</v>
      </c>
      <c r="U21">
        <v>0</v>
      </c>
      <c r="V21">
        <v>0</v>
      </c>
      <c r="W21">
        <v>12</v>
      </c>
      <c r="X21">
        <v>2</v>
      </c>
      <c r="Y21">
        <v>0</v>
      </c>
      <c r="Z21">
        <v>16887.640121640099</v>
      </c>
      <c r="AA21">
        <v>62646.680725901097</v>
      </c>
      <c r="AB21">
        <v>30024.177725996498</v>
      </c>
      <c r="AC21">
        <v>94719.024503046196</v>
      </c>
      <c r="AD21">
        <v>22837.323659831101</v>
      </c>
      <c r="AE21">
        <v>59918.869390937398</v>
      </c>
      <c r="AF21">
        <v>69749.141507467706</v>
      </c>
      <c r="AG21">
        <v>217284.57461988399</v>
      </c>
      <c r="AH21">
        <v>0</v>
      </c>
      <c r="AI21">
        <v>3</v>
      </c>
      <c r="AJ21">
        <v>0</v>
      </c>
      <c r="AK21">
        <v>2</v>
      </c>
      <c r="AL21">
        <v>79.2</v>
      </c>
      <c r="AM21">
        <v>0</v>
      </c>
      <c r="AN21" t="s">
        <v>103</v>
      </c>
      <c r="AO21" t="b">
        <v>0</v>
      </c>
      <c r="AP21" t="s">
        <v>103</v>
      </c>
      <c r="AQ21">
        <v>0</v>
      </c>
      <c r="AR21">
        <v>1</v>
      </c>
      <c r="AS21">
        <v>3.1381556393554999</v>
      </c>
      <c r="AT21">
        <v>1</v>
      </c>
      <c r="AU21">
        <v>9.2657097408440308</v>
      </c>
      <c r="AV21">
        <v>10</v>
      </c>
      <c r="AW21">
        <v>5.0867561461150999</v>
      </c>
      <c r="AX21">
        <v>20</v>
      </c>
      <c r="AY21">
        <v>5</v>
      </c>
      <c r="AZ21">
        <v>14</v>
      </c>
      <c r="BA21">
        <v>6</v>
      </c>
      <c r="BB21">
        <v>2</v>
      </c>
      <c r="BC21">
        <v>0</v>
      </c>
      <c r="BD21">
        <v>0</v>
      </c>
      <c r="BE21">
        <v>0</v>
      </c>
      <c r="BF21">
        <v>0</v>
      </c>
      <c r="BG21">
        <v>6</v>
      </c>
      <c r="BH21">
        <v>0</v>
      </c>
      <c r="BI21">
        <v>14</v>
      </c>
      <c r="BJ21">
        <v>14</v>
      </c>
      <c r="BK21">
        <v>5.0867561461150999</v>
      </c>
      <c r="BL21">
        <v>20</v>
      </c>
      <c r="BM21">
        <v>5</v>
      </c>
      <c r="BN21">
        <v>5.3385596960071497</v>
      </c>
      <c r="BO21">
        <v>187777.48799740101</v>
      </c>
      <c r="BP21" t="s">
        <v>209</v>
      </c>
      <c r="BQ21" t="s">
        <v>816</v>
      </c>
      <c r="BR21" cm="1">
        <f t="array" ref="BR21">IF($AP21="ארצי",SUMPRODUCT(($AP$2:$AP$143="ארצי")*($BK$2:$BK$143&gt;$BK21))+1,SUMPRODUCT(($AP$2:$AP$143=$AP21)*($L$2:$L$143=$L21)*($BK$2:$BK$143&gt;$BK21))+1)</f>
        <v>2</v>
      </c>
    </row>
    <row r="22" spans="1:70" x14ac:dyDescent="0.25">
      <c r="A22">
        <v>27</v>
      </c>
      <c r="B22">
        <v>34.870964563862003</v>
      </c>
      <c r="C22">
        <v>32.312015333680897</v>
      </c>
      <c r="D22" t="s">
        <v>210</v>
      </c>
      <c r="E22" t="s">
        <v>211</v>
      </c>
      <c r="F22" t="s">
        <v>128</v>
      </c>
      <c r="G22" t="s">
        <v>129</v>
      </c>
      <c r="H22" t="s">
        <v>154</v>
      </c>
      <c r="I22" t="s">
        <v>155</v>
      </c>
      <c r="J22" t="s">
        <v>74</v>
      </c>
      <c r="K22" t="s">
        <v>94</v>
      </c>
      <c r="L22" t="s">
        <v>94</v>
      </c>
      <c r="M22" t="s">
        <v>132</v>
      </c>
      <c r="N22" t="s">
        <v>133</v>
      </c>
      <c r="O22">
        <v>11034.85</v>
      </c>
      <c r="P22">
        <v>9791.1499999999905</v>
      </c>
      <c r="Q22">
        <v>0.887293438515249</v>
      </c>
      <c r="R22">
        <v>2</v>
      </c>
      <c r="S22">
        <v>0</v>
      </c>
      <c r="T22">
        <v>0</v>
      </c>
      <c r="U22">
        <v>0</v>
      </c>
      <c r="V22">
        <v>0</v>
      </c>
      <c r="W22">
        <v>2</v>
      </c>
      <c r="X22">
        <v>0</v>
      </c>
      <c r="Y22">
        <v>0</v>
      </c>
      <c r="Z22">
        <v>4948.6049286014704</v>
      </c>
      <c r="AA22">
        <v>7002.8753149118102</v>
      </c>
      <c r="AB22">
        <v>16939.692691254098</v>
      </c>
      <c r="AC22">
        <v>10516.0178831839</v>
      </c>
      <c r="AD22">
        <v>12758.148880733401</v>
      </c>
      <c r="AE22">
        <v>6626.4623937014403</v>
      </c>
      <c r="AF22">
        <v>34646.446500589002</v>
      </c>
      <c r="AG22">
        <v>24145.355591797201</v>
      </c>
      <c r="AH22">
        <v>0</v>
      </c>
      <c r="AI22">
        <v>2</v>
      </c>
      <c r="AJ22">
        <v>0</v>
      </c>
      <c r="AK22">
        <v>2</v>
      </c>
      <c r="AL22">
        <v>19.8</v>
      </c>
      <c r="AM22">
        <v>0</v>
      </c>
      <c r="AN22" t="s">
        <v>134</v>
      </c>
      <c r="AO22" t="b">
        <v>0</v>
      </c>
      <c r="AP22" t="s">
        <v>134</v>
      </c>
      <c r="AQ22">
        <v>0</v>
      </c>
      <c r="AR22">
        <v>1</v>
      </c>
      <c r="AS22">
        <v>1.3054508056222101</v>
      </c>
      <c r="AT22">
        <v>1</v>
      </c>
      <c r="AU22">
        <v>6.7821911391977601</v>
      </c>
      <c r="AV22">
        <v>2.2296219693325798</v>
      </c>
      <c r="AW22">
        <v>5.0840693455059398</v>
      </c>
      <c r="AX22">
        <v>21</v>
      </c>
      <c r="AY22">
        <v>5</v>
      </c>
      <c r="AZ22">
        <v>4</v>
      </c>
      <c r="BA22">
        <v>0</v>
      </c>
      <c r="BB22">
        <v>0</v>
      </c>
      <c r="BC22">
        <v>2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2</v>
      </c>
      <c r="BJ22">
        <v>4</v>
      </c>
      <c r="BK22">
        <v>5.0840693455059398</v>
      </c>
      <c r="BL22">
        <v>21</v>
      </c>
      <c r="BM22">
        <v>5</v>
      </c>
      <c r="BN22">
        <v>4.04276643404366</v>
      </c>
      <c r="BO22">
        <v>26245.573773555599</v>
      </c>
      <c r="BP22" t="s">
        <v>212</v>
      </c>
      <c r="BQ22" t="s">
        <v>809</v>
      </c>
      <c r="BR22" cm="1">
        <f t="array" ref="BR22">IF($AP22="ארצי",SUMPRODUCT(($AP$2:$AP$143="ארצי")*($BK$2:$BK$143&gt;$BK22))+1,SUMPRODUCT(($AP$2:$AP$143=$AP22)*($L$2:$L$143=$L22)*($BK$2:$BK$143&gt;$BK22))+1)</f>
        <v>5</v>
      </c>
    </row>
    <row r="23" spans="1:70" x14ac:dyDescent="0.25">
      <c r="A23">
        <v>349</v>
      </c>
      <c r="B23">
        <v>34.786311410034003</v>
      </c>
      <c r="C23">
        <v>31.966411712909299</v>
      </c>
      <c r="D23" t="s">
        <v>213</v>
      </c>
      <c r="E23" t="s">
        <v>214</v>
      </c>
      <c r="F23" t="s">
        <v>215</v>
      </c>
      <c r="G23" t="s">
        <v>216</v>
      </c>
      <c r="H23" t="s">
        <v>217</v>
      </c>
      <c r="I23" t="s">
        <v>218</v>
      </c>
      <c r="J23" t="s">
        <v>74</v>
      </c>
      <c r="K23" t="s">
        <v>94</v>
      </c>
      <c r="L23" t="s">
        <v>94</v>
      </c>
      <c r="M23" t="s">
        <v>219</v>
      </c>
      <c r="N23" t="s">
        <v>133</v>
      </c>
      <c r="O23">
        <v>27338.186099999999</v>
      </c>
      <c r="P23">
        <v>22307.576099999998</v>
      </c>
      <c r="Q23">
        <v>0.81598596258001099</v>
      </c>
      <c r="R23">
        <v>4</v>
      </c>
      <c r="S23">
        <v>0</v>
      </c>
      <c r="T23">
        <v>0</v>
      </c>
      <c r="U23">
        <v>0</v>
      </c>
      <c r="V23">
        <v>0</v>
      </c>
      <c r="W23">
        <v>5</v>
      </c>
      <c r="X23">
        <v>0</v>
      </c>
      <c r="Y23">
        <v>0</v>
      </c>
      <c r="Z23">
        <v>14722.1214113236</v>
      </c>
      <c r="AA23">
        <v>3257.0224700664298</v>
      </c>
      <c r="AB23">
        <v>22284.793566650798</v>
      </c>
      <c r="AC23">
        <v>4969.20442545899</v>
      </c>
      <c r="AD23">
        <v>14055.863590532599</v>
      </c>
      <c r="AE23">
        <v>3074.9655079942299</v>
      </c>
      <c r="AF23">
        <v>51062.778568507099</v>
      </c>
      <c r="AG23">
        <v>11301.192403519601</v>
      </c>
      <c r="AH23">
        <v>0</v>
      </c>
      <c r="AI23">
        <v>2</v>
      </c>
      <c r="AJ23">
        <v>0</v>
      </c>
      <c r="AK23">
        <v>2</v>
      </c>
      <c r="AL23">
        <v>45.1</v>
      </c>
      <c r="AM23">
        <v>3</v>
      </c>
      <c r="AN23" t="s">
        <v>143</v>
      </c>
      <c r="AO23" t="b">
        <v>0</v>
      </c>
      <c r="AP23" t="s">
        <v>143</v>
      </c>
      <c r="AQ23">
        <v>3</v>
      </c>
      <c r="AR23">
        <v>1</v>
      </c>
      <c r="AS23">
        <v>2.0860473088789799</v>
      </c>
      <c r="AT23">
        <v>10</v>
      </c>
      <c r="AU23">
        <v>7.5691841589034201</v>
      </c>
      <c r="AV23">
        <v>3.04089540982114</v>
      </c>
      <c r="AW23">
        <v>5.0798122620603303</v>
      </c>
      <c r="AX23">
        <v>22</v>
      </c>
      <c r="AY23">
        <v>4</v>
      </c>
      <c r="AZ23">
        <v>9</v>
      </c>
      <c r="BA23">
        <v>0</v>
      </c>
      <c r="BB23">
        <v>2</v>
      </c>
      <c r="BC23">
        <v>0</v>
      </c>
      <c r="BD23">
        <v>0</v>
      </c>
      <c r="BE23">
        <v>0</v>
      </c>
      <c r="BF23">
        <v>6</v>
      </c>
      <c r="BG23">
        <v>0</v>
      </c>
      <c r="BH23">
        <v>0</v>
      </c>
      <c r="BI23">
        <v>8</v>
      </c>
      <c r="BJ23">
        <v>9</v>
      </c>
      <c r="BK23">
        <v>5.0798122620603303</v>
      </c>
      <c r="BL23">
        <v>22</v>
      </c>
      <c r="BM23">
        <v>4</v>
      </c>
      <c r="BN23">
        <v>4.4367696955684996</v>
      </c>
      <c r="BO23">
        <v>43110.461335509601</v>
      </c>
      <c r="BP23" t="s">
        <v>220</v>
      </c>
      <c r="BQ23" t="s">
        <v>817</v>
      </c>
      <c r="BR23" cm="1">
        <f t="array" ref="BR23">IF($AP23="ארצי",SUMPRODUCT(($AP$2:$AP$143="ארצי")*($BK$2:$BK$143&gt;$BK23))+1,SUMPRODUCT(($AP$2:$AP$143=$AP23)*($L$2:$L$143=$L23)*($BK$2:$BK$143&gt;$BK23))+1)</f>
        <v>1</v>
      </c>
    </row>
    <row r="24" spans="1:70" x14ac:dyDescent="0.25">
      <c r="A24">
        <v>547</v>
      </c>
      <c r="B24">
        <v>35.082513337744999</v>
      </c>
      <c r="C24">
        <v>32.928429857184597</v>
      </c>
      <c r="D24" t="s">
        <v>221</v>
      </c>
      <c r="E24" t="s">
        <v>222</v>
      </c>
      <c r="F24" t="s">
        <v>223</v>
      </c>
      <c r="G24" t="s">
        <v>224</v>
      </c>
      <c r="H24" t="s">
        <v>225</v>
      </c>
      <c r="I24" t="s">
        <v>226</v>
      </c>
      <c r="J24" t="s">
        <v>74</v>
      </c>
      <c r="K24" t="s">
        <v>86</v>
      </c>
      <c r="L24" t="s">
        <v>86</v>
      </c>
      <c r="M24" t="s">
        <v>132</v>
      </c>
      <c r="N24" t="s">
        <v>133</v>
      </c>
      <c r="O24">
        <v>16909.018988</v>
      </c>
      <c r="P24">
        <v>15065.1423489999</v>
      </c>
      <c r="Q24">
        <v>0.89095306828216503</v>
      </c>
      <c r="R24">
        <v>0</v>
      </c>
      <c r="S24">
        <v>0</v>
      </c>
      <c r="T24">
        <v>0</v>
      </c>
      <c r="U24">
        <v>3</v>
      </c>
      <c r="V24">
        <v>3</v>
      </c>
      <c r="W24">
        <v>0</v>
      </c>
      <c r="X24">
        <v>0</v>
      </c>
      <c r="Y24">
        <v>0</v>
      </c>
      <c r="Z24">
        <v>10511.7929667232</v>
      </c>
      <c r="AA24">
        <v>3469.1324397786302</v>
      </c>
      <c r="AB24">
        <v>16861.803156652601</v>
      </c>
      <c r="AC24">
        <v>6270.0332404131404</v>
      </c>
      <c r="AD24">
        <v>9825.2933975531396</v>
      </c>
      <c r="AE24">
        <v>3945.8175975600502</v>
      </c>
      <c r="AF24">
        <v>37198.889520928999</v>
      </c>
      <c r="AG24">
        <v>13684.9832777518</v>
      </c>
      <c r="AH24">
        <v>1</v>
      </c>
      <c r="AI24">
        <v>2</v>
      </c>
      <c r="AJ24">
        <v>2</v>
      </c>
      <c r="AK24">
        <v>2</v>
      </c>
      <c r="AL24">
        <v>49.5</v>
      </c>
      <c r="AM24">
        <v>3</v>
      </c>
      <c r="AN24" t="s">
        <v>103</v>
      </c>
      <c r="AO24" t="b">
        <v>0</v>
      </c>
      <c r="AP24" t="s">
        <v>103</v>
      </c>
      <c r="AQ24">
        <v>3</v>
      </c>
      <c r="AR24">
        <v>7</v>
      </c>
      <c r="AS24">
        <v>2.22180322248885</v>
      </c>
      <c r="AT24">
        <v>10</v>
      </c>
      <c r="AU24">
        <v>3.6287825995368999</v>
      </c>
      <c r="AV24">
        <v>1.85162763529181</v>
      </c>
      <c r="AW24">
        <v>4.9995054568929298</v>
      </c>
      <c r="AX24">
        <v>23</v>
      </c>
      <c r="AY24">
        <v>6</v>
      </c>
      <c r="AZ24">
        <v>6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6</v>
      </c>
      <c r="BK24">
        <v>4.9995054568929298</v>
      </c>
      <c r="BL24">
        <v>23</v>
      </c>
      <c r="BM24">
        <v>6</v>
      </c>
      <c r="BN24">
        <v>4.2281184118285404</v>
      </c>
      <c r="BO24">
        <v>18387.7645263872</v>
      </c>
      <c r="BP24" t="s">
        <v>227</v>
      </c>
      <c r="BQ24" t="s">
        <v>818</v>
      </c>
      <c r="BR24" cm="1">
        <f t="array" ref="BR24">IF($AP24="ארצי",SUMPRODUCT(($AP$2:$AP$143="ארצי")*($BK$2:$BK$143&gt;$BK24))+1,SUMPRODUCT(($AP$2:$AP$143=$AP24)*($L$2:$L$143=$L24)*($BK$2:$BK$143&gt;$BK24))+1)</f>
        <v>2</v>
      </c>
    </row>
    <row r="25" spans="1:70" x14ac:dyDescent="0.25">
      <c r="A25">
        <v>628</v>
      </c>
      <c r="B25">
        <v>34.805619867365699</v>
      </c>
      <c r="C25">
        <v>32.1038407567519</v>
      </c>
      <c r="D25" t="s">
        <v>228</v>
      </c>
      <c r="E25" t="s">
        <v>229</v>
      </c>
      <c r="F25" t="s">
        <v>98</v>
      </c>
      <c r="G25" t="s">
        <v>99</v>
      </c>
      <c r="H25" t="s">
        <v>230</v>
      </c>
      <c r="I25" t="s">
        <v>231</v>
      </c>
      <c r="J25" t="s">
        <v>74</v>
      </c>
      <c r="K25" t="s">
        <v>94</v>
      </c>
      <c r="L25" t="s">
        <v>94</v>
      </c>
      <c r="M25" t="s">
        <v>76</v>
      </c>
      <c r="N25" t="s">
        <v>77</v>
      </c>
      <c r="O25">
        <v>29466.400000000001</v>
      </c>
      <c r="P25">
        <v>27354.240000000002</v>
      </c>
      <c r="Q25">
        <v>0.92831971330057195</v>
      </c>
      <c r="R25">
        <v>0</v>
      </c>
      <c r="S25">
        <v>0</v>
      </c>
      <c r="T25">
        <v>0</v>
      </c>
      <c r="U25">
        <v>0</v>
      </c>
      <c r="V25">
        <v>11</v>
      </c>
      <c r="W25">
        <v>4</v>
      </c>
      <c r="X25">
        <v>0</v>
      </c>
      <c r="Y25">
        <v>11</v>
      </c>
      <c r="Z25">
        <v>871.87591082851702</v>
      </c>
      <c r="AA25">
        <v>5489.4220773340303</v>
      </c>
      <c r="AB25">
        <v>9910.3437690917199</v>
      </c>
      <c r="AC25">
        <v>15222.1769761209</v>
      </c>
      <c r="AD25">
        <v>10803.809494385399</v>
      </c>
      <c r="AE25">
        <v>11139.837403387301</v>
      </c>
      <c r="AF25">
        <v>21586.0291743056</v>
      </c>
      <c r="AG25">
        <v>31851.436456842301</v>
      </c>
      <c r="AH25">
        <v>0</v>
      </c>
      <c r="AI25">
        <v>3</v>
      </c>
      <c r="AJ25">
        <v>0</v>
      </c>
      <c r="AK25">
        <v>3</v>
      </c>
      <c r="AL25">
        <v>195.6</v>
      </c>
      <c r="AM25">
        <v>2</v>
      </c>
      <c r="AN25" t="s">
        <v>103</v>
      </c>
      <c r="AO25" t="b">
        <v>0</v>
      </c>
      <c r="AP25" t="s">
        <v>103</v>
      </c>
      <c r="AQ25">
        <v>2</v>
      </c>
      <c r="AR25">
        <v>1</v>
      </c>
      <c r="AS25">
        <v>6.7295166266712299</v>
      </c>
      <c r="AT25">
        <v>7</v>
      </c>
      <c r="AU25">
        <v>4.8532288694625496</v>
      </c>
      <c r="AV25">
        <v>2.4005259874331601</v>
      </c>
      <c r="AW25">
        <v>4.9756981552478203</v>
      </c>
      <c r="AX25">
        <v>24</v>
      </c>
      <c r="AY25">
        <v>7</v>
      </c>
      <c r="AZ25">
        <v>26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4</v>
      </c>
      <c r="BH25">
        <v>0</v>
      </c>
      <c r="BI25">
        <v>4</v>
      </c>
      <c r="BJ25">
        <v>26</v>
      </c>
      <c r="BK25">
        <v>4.9756981552478203</v>
      </c>
      <c r="BL25">
        <v>24</v>
      </c>
      <c r="BM25">
        <v>7</v>
      </c>
      <c r="BN25">
        <v>4.4693270800088198</v>
      </c>
      <c r="BO25">
        <v>29798.355000334999</v>
      </c>
      <c r="BP25" t="s">
        <v>232</v>
      </c>
      <c r="BQ25" t="s">
        <v>819</v>
      </c>
      <c r="BR25" cm="1">
        <f t="array" ref="BR25">IF($AP25="ארצי",SUMPRODUCT(($AP$2:$AP$143="ארצי")*($BK$2:$BK$143&gt;$BK25))+1,SUMPRODUCT(($AP$2:$AP$143=$AP25)*($L$2:$L$143=$L25)*($BK$2:$BK$143&gt;$BK25))+1)</f>
        <v>3</v>
      </c>
    </row>
    <row r="26" spans="1:70" x14ac:dyDescent="0.25">
      <c r="A26">
        <v>593</v>
      </c>
      <c r="B26">
        <v>34.784987924048899</v>
      </c>
      <c r="C26">
        <v>32.054157233594601</v>
      </c>
      <c r="D26" t="s">
        <v>233</v>
      </c>
      <c r="E26" t="s">
        <v>234</v>
      </c>
      <c r="F26" t="s">
        <v>90</v>
      </c>
      <c r="G26" t="s">
        <v>91</v>
      </c>
      <c r="H26" t="s">
        <v>235</v>
      </c>
      <c r="I26" t="s">
        <v>236</v>
      </c>
      <c r="J26" t="s">
        <v>74</v>
      </c>
      <c r="K26" t="s">
        <v>94</v>
      </c>
      <c r="L26" t="s">
        <v>94</v>
      </c>
      <c r="M26" t="s">
        <v>76</v>
      </c>
      <c r="N26" t="s">
        <v>77</v>
      </c>
      <c r="O26">
        <v>147331.51</v>
      </c>
      <c r="P26">
        <v>103269.06</v>
      </c>
      <c r="Q26">
        <v>0.70092989612337497</v>
      </c>
      <c r="R26">
        <v>0</v>
      </c>
      <c r="S26">
        <v>0</v>
      </c>
      <c r="T26">
        <v>0</v>
      </c>
      <c r="U26">
        <v>0</v>
      </c>
      <c r="V26">
        <v>11</v>
      </c>
      <c r="W26">
        <v>6</v>
      </c>
      <c r="X26">
        <v>4</v>
      </c>
      <c r="Y26">
        <v>11</v>
      </c>
      <c r="Z26">
        <v>13143.0250817833</v>
      </c>
      <c r="AA26">
        <v>15365.5233745348</v>
      </c>
      <c r="AB26">
        <v>23435.485461899101</v>
      </c>
      <c r="AC26">
        <v>39208.837987319297</v>
      </c>
      <c r="AD26">
        <v>17315.744723907399</v>
      </c>
      <c r="AE26">
        <v>28755.815308830199</v>
      </c>
      <c r="AF26">
        <v>53894.255267589899</v>
      </c>
      <c r="AG26">
        <v>83330.176670684305</v>
      </c>
      <c r="AH26">
        <v>0</v>
      </c>
      <c r="AI26">
        <v>3</v>
      </c>
      <c r="AJ26">
        <v>0</v>
      </c>
      <c r="AK26">
        <v>4</v>
      </c>
      <c r="AL26">
        <v>256.10000000000002</v>
      </c>
      <c r="AM26">
        <v>2</v>
      </c>
      <c r="AN26" t="s">
        <v>78</v>
      </c>
      <c r="AO26" t="b">
        <v>0</v>
      </c>
      <c r="AP26" t="s">
        <v>78</v>
      </c>
      <c r="AQ26">
        <v>2</v>
      </c>
      <c r="AR26">
        <v>1</v>
      </c>
      <c r="AS26">
        <v>8.5961604388069901</v>
      </c>
      <c r="AT26">
        <v>7</v>
      </c>
      <c r="AU26">
        <v>4.2172441486448298</v>
      </c>
      <c r="AV26">
        <v>4.6924374368278796</v>
      </c>
      <c r="AW26">
        <v>4.8898607656684598</v>
      </c>
      <c r="AX26">
        <v>25</v>
      </c>
      <c r="AY26">
        <v>9</v>
      </c>
      <c r="AZ26">
        <v>32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4</v>
      </c>
      <c r="BG26">
        <v>6</v>
      </c>
      <c r="BH26">
        <v>0</v>
      </c>
      <c r="BI26">
        <v>10</v>
      </c>
      <c r="BJ26">
        <v>32</v>
      </c>
      <c r="BK26">
        <v>4.8898607656684598</v>
      </c>
      <c r="BL26">
        <v>25</v>
      </c>
      <c r="BM26">
        <v>9</v>
      </c>
      <c r="BN26">
        <v>5.1682956399563098</v>
      </c>
      <c r="BO26">
        <v>77442.992390065498</v>
      </c>
      <c r="BP26" t="s">
        <v>237</v>
      </c>
      <c r="BQ26" t="s">
        <v>820</v>
      </c>
      <c r="BR26" cm="1">
        <f t="array" ref="BR26">IF($AP26="ארצי",SUMPRODUCT(($AP$2:$AP$143="ארצי")*($BK$2:$BK$143&gt;$BK26))+1,SUMPRODUCT(($AP$2:$AP$143=$AP26)*($L$2:$L$143=$L26)*($BK$2:$BK$143&gt;$BK26))+1)</f>
        <v>9</v>
      </c>
    </row>
    <row r="27" spans="1:70" x14ac:dyDescent="0.25">
      <c r="A27">
        <v>601</v>
      </c>
      <c r="B27">
        <v>34.823162557180801</v>
      </c>
      <c r="C27">
        <v>32.091083822096699</v>
      </c>
      <c r="D27" t="s">
        <v>238</v>
      </c>
      <c r="E27" t="s">
        <v>239</v>
      </c>
      <c r="F27" t="s">
        <v>138</v>
      </c>
      <c r="G27" t="s">
        <v>139</v>
      </c>
      <c r="H27" t="s">
        <v>240</v>
      </c>
      <c r="I27" t="s">
        <v>241</v>
      </c>
      <c r="J27" t="s">
        <v>74</v>
      </c>
      <c r="K27" t="s">
        <v>94</v>
      </c>
      <c r="L27" t="s">
        <v>94</v>
      </c>
      <c r="M27" t="s">
        <v>142</v>
      </c>
      <c r="N27" t="s">
        <v>133</v>
      </c>
      <c r="O27">
        <v>85633.97</v>
      </c>
      <c r="P27">
        <v>41959.87</v>
      </c>
      <c r="Q27">
        <v>0.48999094634991203</v>
      </c>
      <c r="R27">
        <v>2</v>
      </c>
      <c r="S27">
        <v>0</v>
      </c>
      <c r="T27">
        <v>0</v>
      </c>
      <c r="U27">
        <v>0</v>
      </c>
      <c r="V27">
        <v>0</v>
      </c>
      <c r="W27">
        <v>6</v>
      </c>
      <c r="X27">
        <v>0</v>
      </c>
      <c r="Y27">
        <v>0</v>
      </c>
      <c r="Z27">
        <v>37072.789104705298</v>
      </c>
      <c r="AA27">
        <v>13721.3896462659</v>
      </c>
      <c r="AB27">
        <v>51478.017042310501</v>
      </c>
      <c r="AC27">
        <v>21241.707645051902</v>
      </c>
      <c r="AD27">
        <v>31802.2376182646</v>
      </c>
      <c r="AE27">
        <v>13211.3446897788</v>
      </c>
      <c r="AF27">
        <v>120353.04376528</v>
      </c>
      <c r="AG27">
        <v>48174.441981096701</v>
      </c>
      <c r="AH27">
        <v>0</v>
      </c>
      <c r="AI27">
        <v>2</v>
      </c>
      <c r="AJ27">
        <v>0</v>
      </c>
      <c r="AK27">
        <v>2</v>
      </c>
      <c r="AL27">
        <v>41.8</v>
      </c>
      <c r="AM27">
        <v>0</v>
      </c>
      <c r="AN27" t="s">
        <v>143</v>
      </c>
      <c r="AO27" t="b">
        <v>0</v>
      </c>
      <c r="AP27" t="s">
        <v>143</v>
      </c>
      <c r="AQ27">
        <v>0</v>
      </c>
      <c r="AR27">
        <v>1</v>
      </c>
      <c r="AS27">
        <v>1.9842303736715801</v>
      </c>
      <c r="AT27">
        <v>1</v>
      </c>
      <c r="AU27">
        <v>10</v>
      </c>
      <c r="AV27">
        <v>6.0621749109752301</v>
      </c>
      <c r="AW27">
        <v>4.8700095412938698</v>
      </c>
      <c r="AX27">
        <v>26</v>
      </c>
      <c r="AY27">
        <v>5</v>
      </c>
      <c r="AZ27">
        <v>8</v>
      </c>
      <c r="BA27">
        <v>6</v>
      </c>
      <c r="BB27">
        <v>0</v>
      </c>
      <c r="BC27">
        <v>2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8</v>
      </c>
      <c r="BJ27">
        <v>8</v>
      </c>
      <c r="BK27">
        <v>4.8700095412938698</v>
      </c>
      <c r="BL27">
        <v>26</v>
      </c>
      <c r="BM27">
        <v>5</v>
      </c>
      <c r="BN27">
        <v>4.9326460784270898</v>
      </c>
      <c r="BO27">
        <v>105917.323408443</v>
      </c>
      <c r="BP27" t="s">
        <v>242</v>
      </c>
      <c r="BQ27" t="s">
        <v>821</v>
      </c>
      <c r="BR27" cm="1">
        <f t="array" ref="BR27">IF($AP27="ארצי",SUMPRODUCT(($AP$2:$AP$143="ארצי")*($BK$2:$BK$143&gt;$BK27))+1,SUMPRODUCT(($AP$2:$AP$143=$AP27)*($L$2:$L$143=$L27)*($BK$2:$BK$143&gt;$BK27))+1)</f>
        <v>2</v>
      </c>
    </row>
    <row r="28" spans="1:70" x14ac:dyDescent="0.25">
      <c r="A28">
        <v>499</v>
      </c>
      <c r="B28">
        <v>35.0564582611701</v>
      </c>
      <c r="C28">
        <v>32.805161051148502</v>
      </c>
      <c r="D28" t="s">
        <v>243</v>
      </c>
      <c r="E28" t="s">
        <v>244</v>
      </c>
      <c r="F28" t="s">
        <v>128</v>
      </c>
      <c r="G28" t="s">
        <v>129</v>
      </c>
      <c r="H28" t="s">
        <v>245</v>
      </c>
      <c r="I28" t="s">
        <v>246</v>
      </c>
      <c r="J28" t="s">
        <v>74</v>
      </c>
      <c r="K28" t="s">
        <v>86</v>
      </c>
      <c r="L28" t="s">
        <v>86</v>
      </c>
      <c r="M28" t="s">
        <v>76</v>
      </c>
      <c r="N28" t="s">
        <v>77</v>
      </c>
      <c r="O28">
        <v>24476.539001000001</v>
      </c>
      <c r="P28">
        <v>11935.186643499999</v>
      </c>
      <c r="Q28">
        <v>0.48761741367978401</v>
      </c>
      <c r="R28">
        <v>8</v>
      </c>
      <c r="S28">
        <v>0</v>
      </c>
      <c r="T28">
        <v>0</v>
      </c>
      <c r="U28">
        <v>0</v>
      </c>
      <c r="V28">
        <v>0</v>
      </c>
      <c r="W28">
        <v>8</v>
      </c>
      <c r="X28">
        <v>0</v>
      </c>
      <c r="Y28">
        <v>0</v>
      </c>
      <c r="Z28">
        <v>0</v>
      </c>
      <c r="AA28">
        <v>4697.67443573732</v>
      </c>
      <c r="AB28">
        <v>6.5465937189918701</v>
      </c>
      <c r="AC28">
        <v>8763.8188970412102</v>
      </c>
      <c r="AD28">
        <v>79.560261856122906</v>
      </c>
      <c r="AE28">
        <v>5556.9664327074297</v>
      </c>
      <c r="AF28">
        <v>86.106855575114807</v>
      </c>
      <c r="AG28">
        <v>19018.459765485899</v>
      </c>
      <c r="AH28">
        <v>1</v>
      </c>
      <c r="AI28">
        <v>3</v>
      </c>
      <c r="AJ28">
        <v>3</v>
      </c>
      <c r="AK28">
        <v>2</v>
      </c>
      <c r="AL28">
        <v>79.2</v>
      </c>
      <c r="AM28">
        <v>0</v>
      </c>
      <c r="AN28" t="s">
        <v>143</v>
      </c>
      <c r="AO28" t="b">
        <v>0</v>
      </c>
      <c r="AP28" t="s">
        <v>143</v>
      </c>
      <c r="AQ28">
        <v>0</v>
      </c>
      <c r="AR28">
        <v>10</v>
      </c>
      <c r="AS28">
        <v>3.1381556393554999</v>
      </c>
      <c r="AT28">
        <v>1</v>
      </c>
      <c r="AU28">
        <v>7.3337887648699001</v>
      </c>
      <c r="AV28">
        <v>1.15338486755136</v>
      </c>
      <c r="AW28">
        <v>4.7251603328932603</v>
      </c>
      <c r="AX28">
        <v>27</v>
      </c>
      <c r="AY28">
        <v>6</v>
      </c>
      <c r="AZ28">
        <v>16</v>
      </c>
      <c r="BA28">
        <v>2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4</v>
      </c>
      <c r="BH28">
        <v>0</v>
      </c>
      <c r="BI28">
        <v>6</v>
      </c>
      <c r="BJ28">
        <v>16</v>
      </c>
      <c r="BK28">
        <v>4.7251603328932603</v>
      </c>
      <c r="BL28">
        <v>27</v>
      </c>
      <c r="BM28">
        <v>6</v>
      </c>
      <c r="BN28">
        <v>4.3887500082843101</v>
      </c>
      <c r="BO28">
        <v>3872.5774375572801</v>
      </c>
      <c r="BP28" t="s">
        <v>247</v>
      </c>
      <c r="BQ28" t="s">
        <v>822</v>
      </c>
      <c r="BR28" cm="1">
        <f t="array" ref="BR28">IF($AP28="ארצי",SUMPRODUCT(($AP$2:$AP$143="ארצי")*($BK$2:$BK$143&gt;$BK28))+1,SUMPRODUCT(($AP$2:$AP$143=$AP28)*($L$2:$L$143=$L28)*($BK$2:$BK$143&gt;$BK28))+1)</f>
        <v>4</v>
      </c>
    </row>
    <row r="29" spans="1:70" x14ac:dyDescent="0.25">
      <c r="A29">
        <v>145</v>
      </c>
      <c r="B29">
        <v>34.858564441211598</v>
      </c>
      <c r="C29">
        <v>32.273765018123498</v>
      </c>
      <c r="D29" t="s">
        <v>248</v>
      </c>
      <c r="E29" t="s">
        <v>249</v>
      </c>
      <c r="F29" t="s">
        <v>128</v>
      </c>
      <c r="G29" t="s">
        <v>129</v>
      </c>
      <c r="H29" t="s">
        <v>154</v>
      </c>
      <c r="I29" t="s">
        <v>155</v>
      </c>
      <c r="J29" t="s">
        <v>74</v>
      </c>
      <c r="K29" t="s">
        <v>94</v>
      </c>
      <c r="L29" t="s">
        <v>94</v>
      </c>
      <c r="M29" t="s">
        <v>132</v>
      </c>
      <c r="N29" t="s">
        <v>133</v>
      </c>
      <c r="O29">
        <v>2249.7102052999999</v>
      </c>
      <c r="P29">
        <v>239.4702053</v>
      </c>
      <c r="Q29">
        <v>0.10644491220951099</v>
      </c>
      <c r="R29">
        <v>3</v>
      </c>
      <c r="S29">
        <v>0</v>
      </c>
      <c r="T29">
        <v>0</v>
      </c>
      <c r="U29">
        <v>0</v>
      </c>
      <c r="V29">
        <v>0</v>
      </c>
      <c r="W29">
        <v>3</v>
      </c>
      <c r="X29">
        <v>0</v>
      </c>
      <c r="Y29">
        <v>0</v>
      </c>
      <c r="Z29">
        <v>2386.69962748229</v>
      </c>
      <c r="AA29">
        <v>11617.385195028</v>
      </c>
      <c r="AB29">
        <v>7008.7929600478401</v>
      </c>
      <c r="AC29">
        <v>9403.4730753020503</v>
      </c>
      <c r="AD29">
        <v>4878.2856526277101</v>
      </c>
      <c r="AE29">
        <v>5168.2956988574597</v>
      </c>
      <c r="AF29">
        <v>14273.778240157801</v>
      </c>
      <c r="AG29">
        <v>26189.1539691875</v>
      </c>
      <c r="AH29">
        <v>0</v>
      </c>
      <c r="AI29">
        <v>2</v>
      </c>
      <c r="AJ29">
        <v>0</v>
      </c>
      <c r="AK29">
        <v>2</v>
      </c>
      <c r="AL29">
        <v>29.7</v>
      </c>
      <c r="AM29">
        <v>0</v>
      </c>
      <c r="AN29" t="s">
        <v>134</v>
      </c>
      <c r="AO29" t="b">
        <v>0</v>
      </c>
      <c r="AP29" t="s">
        <v>134</v>
      </c>
      <c r="AQ29">
        <v>0</v>
      </c>
      <c r="AR29">
        <v>1</v>
      </c>
      <c r="AS29">
        <v>1.6109016112444201</v>
      </c>
      <c r="AT29">
        <v>1</v>
      </c>
      <c r="AU29">
        <v>2.5554553572619301</v>
      </c>
      <c r="AV29">
        <v>2.1122717970286198</v>
      </c>
      <c r="AW29">
        <v>4.7067157259261698</v>
      </c>
      <c r="AX29">
        <v>28</v>
      </c>
      <c r="AY29">
        <v>6</v>
      </c>
      <c r="AZ29">
        <v>6</v>
      </c>
      <c r="BA29">
        <v>0</v>
      </c>
      <c r="BB29">
        <v>0</v>
      </c>
      <c r="BC29">
        <v>2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2</v>
      </c>
      <c r="BJ29">
        <v>6</v>
      </c>
      <c r="BK29">
        <v>4.7067157259261698</v>
      </c>
      <c r="BL29">
        <v>28</v>
      </c>
      <c r="BM29">
        <v>6</v>
      </c>
      <c r="BN29">
        <v>3.3521265784025598</v>
      </c>
      <c r="BO29">
        <v>23806.078823381598</v>
      </c>
      <c r="BP29" t="s">
        <v>250</v>
      </c>
      <c r="BQ29" t="s">
        <v>809</v>
      </c>
      <c r="BR29" cm="1">
        <f t="array" ref="BR29">IF($AP29="ארצי",SUMPRODUCT(($AP$2:$AP$143="ארצי")*($BK$2:$BK$143&gt;$BK29))+1,SUMPRODUCT(($AP$2:$AP$143=$AP29)*($L$2:$L$143=$L29)*($BK$2:$BK$143&gt;$BK29))+1)</f>
        <v>6</v>
      </c>
    </row>
    <row r="30" spans="1:70" x14ac:dyDescent="0.25">
      <c r="A30">
        <v>560</v>
      </c>
      <c r="B30">
        <v>35.132325027120899</v>
      </c>
      <c r="C30">
        <v>32.823316130537101</v>
      </c>
      <c r="D30" t="s">
        <v>251</v>
      </c>
      <c r="E30" t="s">
        <v>252</v>
      </c>
      <c r="F30" t="s">
        <v>138</v>
      </c>
      <c r="G30" t="s">
        <v>139</v>
      </c>
      <c r="H30" t="s">
        <v>253</v>
      </c>
      <c r="I30" t="s">
        <v>254</v>
      </c>
      <c r="J30" t="s">
        <v>74</v>
      </c>
      <c r="K30" t="s">
        <v>86</v>
      </c>
      <c r="L30" t="s">
        <v>86</v>
      </c>
      <c r="M30" t="s">
        <v>142</v>
      </c>
      <c r="N30" t="s">
        <v>133</v>
      </c>
      <c r="O30">
        <v>9587.6103093999991</v>
      </c>
      <c r="P30">
        <v>8835.8004127999993</v>
      </c>
      <c r="Q30">
        <v>0.92158526761742598</v>
      </c>
      <c r="R30">
        <v>3</v>
      </c>
      <c r="S30">
        <v>0</v>
      </c>
      <c r="T30">
        <v>0</v>
      </c>
      <c r="U30">
        <v>0</v>
      </c>
      <c r="V30">
        <v>0</v>
      </c>
      <c r="W30">
        <v>6</v>
      </c>
      <c r="X30">
        <v>0</v>
      </c>
      <c r="Y30">
        <v>0</v>
      </c>
      <c r="Z30">
        <v>2353.7714964151501</v>
      </c>
      <c r="AA30">
        <v>2139.3423286946099</v>
      </c>
      <c r="AB30">
        <v>4281.8436778478499</v>
      </c>
      <c r="AC30">
        <v>2690.92461399268</v>
      </c>
      <c r="AD30">
        <v>3289.5660389497898</v>
      </c>
      <c r="AE30">
        <v>1390.4988028877001</v>
      </c>
      <c r="AF30">
        <v>9925.1812132127998</v>
      </c>
      <c r="AG30">
        <v>6220.7657455750104</v>
      </c>
      <c r="AH30">
        <v>1</v>
      </c>
      <c r="AI30">
        <v>2</v>
      </c>
      <c r="AJ30">
        <v>2</v>
      </c>
      <c r="AK30">
        <v>2</v>
      </c>
      <c r="AL30">
        <v>46.2</v>
      </c>
      <c r="AM30">
        <v>2</v>
      </c>
      <c r="AN30" t="s">
        <v>143</v>
      </c>
      <c r="AO30" t="b">
        <v>0</v>
      </c>
      <c r="AP30" t="s">
        <v>143</v>
      </c>
      <c r="AQ30">
        <v>2</v>
      </c>
      <c r="AR30">
        <v>7</v>
      </c>
      <c r="AS30">
        <v>2.1199862872814501</v>
      </c>
      <c r="AT30">
        <v>7</v>
      </c>
      <c r="AU30">
        <v>5.33845600483121</v>
      </c>
      <c r="AV30">
        <v>1.40890141913665</v>
      </c>
      <c r="AW30">
        <v>4.6714380542041303</v>
      </c>
      <c r="AX30">
        <v>29</v>
      </c>
      <c r="AY30">
        <v>7</v>
      </c>
      <c r="AZ30">
        <v>9</v>
      </c>
      <c r="BA30">
        <v>3</v>
      </c>
      <c r="BB30">
        <v>0</v>
      </c>
      <c r="BC30">
        <v>2</v>
      </c>
      <c r="BD30">
        <v>0</v>
      </c>
      <c r="BE30">
        <v>0</v>
      </c>
      <c r="BF30">
        <v>0</v>
      </c>
      <c r="BG30">
        <v>4</v>
      </c>
      <c r="BH30">
        <v>0</v>
      </c>
      <c r="BI30">
        <v>9</v>
      </c>
      <c r="BJ30">
        <v>9</v>
      </c>
      <c r="BK30">
        <v>4.6714380542041303</v>
      </c>
      <c r="BL30">
        <v>29</v>
      </c>
      <c r="BM30">
        <v>7</v>
      </c>
      <c r="BN30">
        <v>3.9817103737224202</v>
      </c>
      <c r="BO30">
        <v>9184.2981196852397</v>
      </c>
      <c r="BP30" t="s">
        <v>255</v>
      </c>
      <c r="BQ30" t="s">
        <v>823</v>
      </c>
      <c r="BR30" cm="1">
        <f t="array" ref="BR30">IF($AP30="ארצי",SUMPRODUCT(($AP$2:$AP$143="ארצי")*($BK$2:$BK$143&gt;$BK30))+1,SUMPRODUCT(($AP$2:$AP$143=$AP30)*($L$2:$L$143=$L30)*($BK$2:$BK$143&gt;$BK30))+1)</f>
        <v>5</v>
      </c>
    </row>
    <row r="31" spans="1:70" x14ac:dyDescent="0.25">
      <c r="A31">
        <v>158</v>
      </c>
      <c r="B31">
        <v>34.861950608978702</v>
      </c>
      <c r="C31">
        <v>32.281342678947702</v>
      </c>
      <c r="D31" t="s">
        <v>256</v>
      </c>
      <c r="E31" t="s">
        <v>257</v>
      </c>
      <c r="F31" t="s">
        <v>128</v>
      </c>
      <c r="G31" t="s">
        <v>129</v>
      </c>
      <c r="H31" t="s">
        <v>154</v>
      </c>
      <c r="I31" t="s">
        <v>155</v>
      </c>
      <c r="J31" t="s">
        <v>74</v>
      </c>
      <c r="K31" t="s">
        <v>94</v>
      </c>
      <c r="L31" t="s">
        <v>94</v>
      </c>
      <c r="M31" t="s">
        <v>132</v>
      </c>
      <c r="N31" t="s">
        <v>133</v>
      </c>
      <c r="O31">
        <v>3465.95</v>
      </c>
      <c r="P31">
        <v>3169.8</v>
      </c>
      <c r="Q31">
        <v>0.91455445116057599</v>
      </c>
      <c r="R31">
        <v>1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2004.7840233096599</v>
      </c>
      <c r="AA31">
        <v>19177.260182250699</v>
      </c>
      <c r="AB31">
        <v>10748.5536623157</v>
      </c>
      <c r="AC31">
        <v>16511.627404536099</v>
      </c>
      <c r="AD31">
        <v>7239.47381198728</v>
      </c>
      <c r="AE31">
        <v>4317.7958678628202</v>
      </c>
      <c r="AF31">
        <v>19992.811497612602</v>
      </c>
      <c r="AG31">
        <v>40006.683454649698</v>
      </c>
      <c r="AH31">
        <v>0</v>
      </c>
      <c r="AI31">
        <v>2</v>
      </c>
      <c r="AJ31">
        <v>0</v>
      </c>
      <c r="AK31">
        <v>2</v>
      </c>
      <c r="AL31">
        <v>9.9</v>
      </c>
      <c r="AM31">
        <v>2</v>
      </c>
      <c r="AN31" t="s">
        <v>134</v>
      </c>
      <c r="AO31" t="b">
        <v>0</v>
      </c>
      <c r="AP31" t="s">
        <v>134</v>
      </c>
      <c r="AQ31">
        <v>2</v>
      </c>
      <c r="AR31">
        <v>1</v>
      </c>
      <c r="AS31">
        <v>1</v>
      </c>
      <c r="AT31">
        <v>7</v>
      </c>
      <c r="AU31">
        <v>3.7041585310591501</v>
      </c>
      <c r="AV31">
        <v>2.69903975909387</v>
      </c>
      <c r="AW31">
        <v>4.6392265087701396</v>
      </c>
      <c r="AX31">
        <v>30</v>
      </c>
      <c r="AY31">
        <v>7</v>
      </c>
      <c r="AZ31">
        <v>2</v>
      </c>
      <c r="BA31">
        <v>0</v>
      </c>
      <c r="BB31">
        <v>0</v>
      </c>
      <c r="BC31">
        <v>2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2</v>
      </c>
      <c r="BJ31">
        <v>2</v>
      </c>
      <c r="BK31">
        <v>4.6392265087701396</v>
      </c>
      <c r="BL31">
        <v>30</v>
      </c>
      <c r="BM31">
        <v>7</v>
      </c>
      <c r="BN31">
        <v>3.5398222932651602</v>
      </c>
      <c r="BO31">
        <v>36003.909063242303</v>
      </c>
      <c r="BP31" t="s">
        <v>258</v>
      </c>
      <c r="BQ31" t="s">
        <v>809</v>
      </c>
      <c r="BR31" cm="1">
        <f t="array" ref="BR31">IF($AP31="ארצי",SUMPRODUCT(($AP$2:$AP$143="ארצי")*($BK$2:$BK$143&gt;$BK31))+1,SUMPRODUCT(($AP$2:$AP$143=$AP31)*($L$2:$L$143=$L31)*($BK$2:$BK$143&gt;$BK31))+1)</f>
        <v>7</v>
      </c>
    </row>
    <row r="32" spans="1:70" x14ac:dyDescent="0.25">
      <c r="A32">
        <v>536</v>
      </c>
      <c r="B32">
        <v>35.070227267221497</v>
      </c>
      <c r="C32">
        <v>32.833677658594503</v>
      </c>
      <c r="D32" t="s">
        <v>259</v>
      </c>
      <c r="E32" t="s">
        <v>260</v>
      </c>
      <c r="F32" t="s">
        <v>223</v>
      </c>
      <c r="G32" t="s">
        <v>224</v>
      </c>
      <c r="H32" t="s">
        <v>261</v>
      </c>
      <c r="I32" t="s">
        <v>262</v>
      </c>
      <c r="J32" t="s">
        <v>74</v>
      </c>
      <c r="K32" t="s">
        <v>86</v>
      </c>
      <c r="L32" t="s">
        <v>86</v>
      </c>
      <c r="M32" t="s">
        <v>76</v>
      </c>
      <c r="N32" t="s">
        <v>77</v>
      </c>
      <c r="O32">
        <v>35273.327559999998</v>
      </c>
      <c r="P32">
        <v>31407.873802999999</v>
      </c>
      <c r="Q32">
        <v>0.89041425846697098</v>
      </c>
      <c r="R32">
        <v>0</v>
      </c>
      <c r="S32">
        <v>0</v>
      </c>
      <c r="T32">
        <v>0</v>
      </c>
      <c r="U32">
        <v>5</v>
      </c>
      <c r="V32">
        <v>5</v>
      </c>
      <c r="W32">
        <v>0</v>
      </c>
      <c r="X32">
        <v>0</v>
      </c>
      <c r="Y32">
        <v>0</v>
      </c>
      <c r="Z32">
        <v>16692.628482698001</v>
      </c>
      <c r="AA32">
        <v>6441.9461473950196</v>
      </c>
      <c r="AB32">
        <v>31157.998410198299</v>
      </c>
      <c r="AC32">
        <v>9763.0607808194109</v>
      </c>
      <c r="AD32">
        <v>21012.8353869891</v>
      </c>
      <c r="AE32">
        <v>5960.8757212363498</v>
      </c>
      <c r="AF32">
        <v>68863.462279885396</v>
      </c>
      <c r="AG32">
        <v>22165.882649450701</v>
      </c>
      <c r="AH32">
        <v>1</v>
      </c>
      <c r="AI32">
        <v>3</v>
      </c>
      <c r="AJ32">
        <v>3</v>
      </c>
      <c r="AK32">
        <v>2</v>
      </c>
      <c r="AL32">
        <v>82.5</v>
      </c>
      <c r="AM32">
        <v>0</v>
      </c>
      <c r="AN32" t="s">
        <v>103</v>
      </c>
      <c r="AO32" t="b">
        <v>0</v>
      </c>
      <c r="AP32" t="s">
        <v>103</v>
      </c>
      <c r="AQ32">
        <v>0</v>
      </c>
      <c r="AR32">
        <v>10</v>
      </c>
      <c r="AS32">
        <v>3.2399725745629002</v>
      </c>
      <c r="AT32">
        <v>1</v>
      </c>
      <c r="AU32">
        <v>5.2497857143458901</v>
      </c>
      <c r="AV32">
        <v>2.4826421064544801</v>
      </c>
      <c r="AW32">
        <v>4.5878338188452101</v>
      </c>
      <c r="AX32">
        <v>31</v>
      </c>
      <c r="AY32">
        <v>8</v>
      </c>
      <c r="AZ32">
        <v>10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10</v>
      </c>
      <c r="BK32">
        <v>4.5878338188452101</v>
      </c>
      <c r="BL32">
        <v>31</v>
      </c>
      <c r="BM32">
        <v>8</v>
      </c>
      <c r="BN32">
        <v>4.5474464313935803</v>
      </c>
      <c r="BO32">
        <v>31505.3985755377</v>
      </c>
      <c r="BP32" t="s">
        <v>263</v>
      </c>
      <c r="BQ32" t="s">
        <v>824</v>
      </c>
      <c r="BR32" cm="1">
        <f t="array" ref="BR32">IF($AP32="ארצי",SUMPRODUCT(($AP$2:$AP$143="ארצי")*($BK$2:$BK$143&gt;$BK32))+1,SUMPRODUCT(($AP$2:$AP$143=$AP32)*($L$2:$L$143=$L32)*($BK$2:$BK$143&gt;$BK32))+1)</f>
        <v>3</v>
      </c>
    </row>
    <row r="33" spans="1:70" x14ac:dyDescent="0.25">
      <c r="A33">
        <v>827</v>
      </c>
      <c r="B33">
        <v>35.098505145167302</v>
      </c>
      <c r="C33">
        <v>33.005430734167803</v>
      </c>
      <c r="D33" t="s">
        <v>264</v>
      </c>
      <c r="E33" t="s">
        <v>265</v>
      </c>
      <c r="F33" t="s">
        <v>223</v>
      </c>
      <c r="G33" t="s">
        <v>224</v>
      </c>
      <c r="H33" t="s">
        <v>266</v>
      </c>
      <c r="I33" t="s">
        <v>267</v>
      </c>
      <c r="J33" t="s">
        <v>74</v>
      </c>
      <c r="K33" t="s">
        <v>86</v>
      </c>
      <c r="L33" t="s">
        <v>86</v>
      </c>
      <c r="M33" t="s">
        <v>132</v>
      </c>
      <c r="N33" t="s">
        <v>133</v>
      </c>
      <c r="O33">
        <v>24623.819497</v>
      </c>
      <c r="P33">
        <v>19980.965510000002</v>
      </c>
      <c r="Q33">
        <v>0.81144866711008601</v>
      </c>
      <c r="R33">
        <v>0</v>
      </c>
      <c r="S33">
        <v>0</v>
      </c>
      <c r="T33">
        <v>0</v>
      </c>
      <c r="U33">
        <v>2</v>
      </c>
      <c r="V33">
        <v>2</v>
      </c>
      <c r="W33">
        <v>0</v>
      </c>
      <c r="X33">
        <v>0</v>
      </c>
      <c r="Y33">
        <v>0</v>
      </c>
      <c r="Z33">
        <v>13007.797031201801</v>
      </c>
      <c r="AA33">
        <v>9200.8729341302897</v>
      </c>
      <c r="AB33">
        <v>21023.423758784102</v>
      </c>
      <c r="AC33">
        <v>8446.9158196053795</v>
      </c>
      <c r="AD33">
        <v>10808.5102295946</v>
      </c>
      <c r="AE33">
        <v>3001.9947433257498</v>
      </c>
      <c r="AF33">
        <v>44839.731019580497</v>
      </c>
      <c r="AG33">
        <v>20649.783497061399</v>
      </c>
      <c r="AH33">
        <v>1</v>
      </c>
      <c r="AI33">
        <v>2</v>
      </c>
      <c r="AJ33">
        <v>2</v>
      </c>
      <c r="AK33">
        <v>2</v>
      </c>
      <c r="AL33">
        <v>33</v>
      </c>
      <c r="AM33">
        <v>2</v>
      </c>
      <c r="AN33" t="s">
        <v>103</v>
      </c>
      <c r="AO33" t="b">
        <v>0</v>
      </c>
      <c r="AP33" t="s">
        <v>103</v>
      </c>
      <c r="AQ33">
        <v>2</v>
      </c>
      <c r="AR33">
        <v>7</v>
      </c>
      <c r="AS33">
        <v>1.71271854645183</v>
      </c>
      <c r="AT33">
        <v>7</v>
      </c>
      <c r="AU33">
        <v>4.4574217441236801</v>
      </c>
      <c r="AV33">
        <v>2.1931685013068298</v>
      </c>
      <c r="AW33">
        <v>4.5353782228503299</v>
      </c>
      <c r="AX33">
        <v>32</v>
      </c>
      <c r="AY33">
        <v>9</v>
      </c>
      <c r="AZ33">
        <v>4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4</v>
      </c>
      <c r="BK33">
        <v>4.5353782228503299</v>
      </c>
      <c r="BL33">
        <v>32</v>
      </c>
      <c r="BM33">
        <v>9</v>
      </c>
      <c r="BN33">
        <v>4.3913554189370299</v>
      </c>
      <c r="BO33">
        <v>25487.773001565201</v>
      </c>
      <c r="BP33" t="s">
        <v>268</v>
      </c>
      <c r="BQ33" t="s">
        <v>825</v>
      </c>
      <c r="BR33" cm="1">
        <f t="array" ref="BR33">IF($AP33="ארצי",SUMPRODUCT(($AP$2:$AP$143="ארצי")*($BK$2:$BK$143&gt;$BK33))+1,SUMPRODUCT(($AP$2:$AP$143=$AP33)*($L$2:$L$143=$L33)*($BK$2:$BK$143&gt;$BK33))+1)</f>
        <v>4</v>
      </c>
    </row>
    <row r="34" spans="1:70" x14ac:dyDescent="0.25">
      <c r="A34">
        <v>972</v>
      </c>
      <c r="B34">
        <v>34.777104558022799</v>
      </c>
      <c r="C34">
        <v>31.6045814776577</v>
      </c>
      <c r="D34" t="s">
        <v>269</v>
      </c>
      <c r="E34" t="s">
        <v>270</v>
      </c>
      <c r="F34" t="s">
        <v>271</v>
      </c>
      <c r="G34" t="s">
        <v>272</v>
      </c>
      <c r="H34" t="s">
        <v>273</v>
      </c>
      <c r="I34" t="s">
        <v>274</v>
      </c>
      <c r="J34" t="s">
        <v>74</v>
      </c>
      <c r="K34" t="s">
        <v>275</v>
      </c>
      <c r="L34" t="s">
        <v>275</v>
      </c>
      <c r="M34" t="s">
        <v>276</v>
      </c>
      <c r="N34" t="s">
        <v>277</v>
      </c>
      <c r="O34">
        <v>18124.014980799999</v>
      </c>
      <c r="P34">
        <v>0</v>
      </c>
      <c r="Q34">
        <v>0</v>
      </c>
      <c r="R34">
        <v>8.6666666666666607</v>
      </c>
      <c r="S34">
        <v>0</v>
      </c>
      <c r="T34">
        <v>0</v>
      </c>
      <c r="U34">
        <v>0</v>
      </c>
      <c r="V34">
        <v>4.6666666666666599</v>
      </c>
      <c r="W34">
        <v>0</v>
      </c>
      <c r="X34">
        <v>0</v>
      </c>
      <c r="Y34">
        <v>4.6666666666666599</v>
      </c>
      <c r="Z34">
        <v>5819.16428788759</v>
      </c>
      <c r="AA34">
        <v>6030.9744120019504</v>
      </c>
      <c r="AB34">
        <v>14034.095490301999</v>
      </c>
      <c r="AC34">
        <v>8626.1339442767603</v>
      </c>
      <c r="AD34">
        <v>9470.4930333879493</v>
      </c>
      <c r="AE34">
        <v>5134.0705799097004</v>
      </c>
      <c r="AF34">
        <v>29323.752811577499</v>
      </c>
      <c r="AG34">
        <v>19791.1789361884</v>
      </c>
      <c r="AH34">
        <v>1</v>
      </c>
      <c r="AI34">
        <v>1</v>
      </c>
      <c r="AJ34">
        <v>1</v>
      </c>
      <c r="AK34">
        <v>3</v>
      </c>
      <c r="AL34">
        <v>114.4</v>
      </c>
      <c r="AM34">
        <v>2</v>
      </c>
      <c r="AN34" t="s">
        <v>103</v>
      </c>
      <c r="AO34" t="b">
        <v>0</v>
      </c>
      <c r="AP34" t="s">
        <v>103</v>
      </c>
      <c r="AQ34">
        <v>2</v>
      </c>
      <c r="AR34">
        <v>4</v>
      </c>
      <c r="AS34">
        <v>4.2242029482344803</v>
      </c>
      <c r="AT34">
        <v>7</v>
      </c>
      <c r="AU34">
        <v>3.7817618181945498</v>
      </c>
      <c r="AV34">
        <v>2.0108494283648999</v>
      </c>
      <c r="AW34">
        <v>4.5330951094606</v>
      </c>
      <c r="AX34">
        <v>33</v>
      </c>
      <c r="AY34">
        <v>10</v>
      </c>
      <c r="AZ34">
        <v>18</v>
      </c>
      <c r="BA34">
        <v>0</v>
      </c>
      <c r="BB34">
        <v>0</v>
      </c>
      <c r="BC34">
        <v>4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4</v>
      </c>
      <c r="BJ34">
        <v>18</v>
      </c>
      <c r="BK34">
        <v>4.5330951094606</v>
      </c>
      <c r="BL34">
        <v>33</v>
      </c>
      <c r="BM34">
        <v>10</v>
      </c>
      <c r="BN34">
        <v>4.2582544124828701</v>
      </c>
      <c r="BO34">
        <v>21697.693711266202</v>
      </c>
      <c r="BP34" t="s">
        <v>900</v>
      </c>
      <c r="BQ34" t="s">
        <v>826</v>
      </c>
      <c r="BR34" cm="1">
        <f t="array" ref="BR34">IF($AP34="ארצי",SUMPRODUCT(($AP$2:$AP$143="ארצי")*($BK$2:$BK$143&gt;$BK34))+1,SUMPRODUCT(($AP$2:$AP$143=$AP34)*($L$2:$L$143=$L34)*($BK$2:$BK$143&gt;$BK34))+1)</f>
        <v>1</v>
      </c>
    </row>
    <row r="35" spans="1:70" x14ac:dyDescent="0.25">
      <c r="A35">
        <v>94</v>
      </c>
      <c r="B35">
        <v>34.894228069753801</v>
      </c>
      <c r="C35">
        <v>32.178195872055603</v>
      </c>
      <c r="D35" t="s">
        <v>278</v>
      </c>
      <c r="E35" t="s">
        <v>279</v>
      </c>
      <c r="F35" t="s">
        <v>280</v>
      </c>
      <c r="G35" t="s">
        <v>281</v>
      </c>
      <c r="H35" t="s">
        <v>282</v>
      </c>
      <c r="I35" t="s">
        <v>283</v>
      </c>
      <c r="J35" t="s">
        <v>74</v>
      </c>
      <c r="K35" t="s">
        <v>94</v>
      </c>
      <c r="L35" t="s">
        <v>94</v>
      </c>
      <c r="M35" t="s">
        <v>219</v>
      </c>
      <c r="N35" t="s">
        <v>133</v>
      </c>
      <c r="O35">
        <v>137617.76</v>
      </c>
      <c r="P35">
        <v>121477.24</v>
      </c>
      <c r="Q35">
        <v>0.88271484726971206</v>
      </c>
      <c r="R35">
        <v>1</v>
      </c>
      <c r="S35">
        <v>0</v>
      </c>
      <c r="T35">
        <v>0</v>
      </c>
      <c r="U35">
        <v>0</v>
      </c>
      <c r="V35">
        <v>0</v>
      </c>
      <c r="W35">
        <v>4.5</v>
      </c>
      <c r="X35">
        <v>2.5</v>
      </c>
      <c r="Y35">
        <v>0</v>
      </c>
      <c r="Z35">
        <v>14821.5529627424</v>
      </c>
      <c r="AA35">
        <v>18945.2937305714</v>
      </c>
      <c r="AB35">
        <v>25732.4893447635</v>
      </c>
      <c r="AC35">
        <v>15586.8181136083</v>
      </c>
      <c r="AD35">
        <v>17293.663209849099</v>
      </c>
      <c r="AE35">
        <v>6561.1535634569</v>
      </c>
      <c r="AF35">
        <v>57847.705517355098</v>
      </c>
      <c r="AG35">
        <v>41093.265407636602</v>
      </c>
      <c r="AH35">
        <v>0</v>
      </c>
      <c r="AI35">
        <v>2</v>
      </c>
      <c r="AJ35">
        <v>0</v>
      </c>
      <c r="AK35">
        <v>3</v>
      </c>
      <c r="AL35">
        <v>49.8</v>
      </c>
      <c r="AM35">
        <v>2</v>
      </c>
      <c r="AN35" t="s">
        <v>103</v>
      </c>
      <c r="AO35" t="b">
        <v>0</v>
      </c>
      <c r="AP35" t="s">
        <v>103</v>
      </c>
      <c r="AQ35">
        <v>2</v>
      </c>
      <c r="AR35">
        <v>1</v>
      </c>
      <c r="AS35">
        <v>2.2310593075077101</v>
      </c>
      <c r="AT35">
        <v>7</v>
      </c>
      <c r="AU35">
        <v>8.2510335129796104</v>
      </c>
      <c r="AV35">
        <v>3.1050517209577801</v>
      </c>
      <c r="AW35">
        <v>4.5134877928265098</v>
      </c>
      <c r="AX35">
        <v>34</v>
      </c>
      <c r="AY35">
        <v>11</v>
      </c>
      <c r="AZ35">
        <v>8</v>
      </c>
      <c r="BA35">
        <v>0</v>
      </c>
      <c r="BB35">
        <v>0</v>
      </c>
      <c r="BC35">
        <v>2</v>
      </c>
      <c r="BD35">
        <v>0</v>
      </c>
      <c r="BE35">
        <v>0</v>
      </c>
      <c r="BF35">
        <v>4</v>
      </c>
      <c r="BG35">
        <v>0</v>
      </c>
      <c r="BH35">
        <v>0</v>
      </c>
      <c r="BI35">
        <v>6</v>
      </c>
      <c r="BJ35">
        <v>8</v>
      </c>
      <c r="BK35">
        <v>4.5134877928265098</v>
      </c>
      <c r="BL35">
        <v>34</v>
      </c>
      <c r="BM35">
        <v>11</v>
      </c>
      <c r="BN35">
        <v>5.13867448457012</v>
      </c>
      <c r="BO35">
        <v>44444.153429580299</v>
      </c>
      <c r="BP35" t="s">
        <v>284</v>
      </c>
      <c r="BQ35" t="s">
        <v>827</v>
      </c>
      <c r="BR35" cm="1">
        <f t="array" ref="BR35">IF($AP35="ארצי",SUMPRODUCT(($AP$2:$AP$143="ארצי")*($BK$2:$BK$143&gt;$BK35))+1,SUMPRODUCT(($AP$2:$AP$143=$AP35)*($L$2:$L$143=$L35)*($BK$2:$BK$143&gt;$BK35))+1)</f>
        <v>4</v>
      </c>
    </row>
    <row r="36" spans="1:70" x14ac:dyDescent="0.25">
      <c r="A36">
        <v>345</v>
      </c>
      <c r="B36">
        <v>34.817333312297201</v>
      </c>
      <c r="C36">
        <v>31.8693563235163</v>
      </c>
      <c r="D36" t="s">
        <v>285</v>
      </c>
      <c r="E36" t="s">
        <v>286</v>
      </c>
      <c r="F36" t="s">
        <v>287</v>
      </c>
      <c r="G36" t="s">
        <v>288</v>
      </c>
      <c r="H36" t="s">
        <v>289</v>
      </c>
      <c r="I36" t="s">
        <v>290</v>
      </c>
      <c r="J36" t="s">
        <v>74</v>
      </c>
      <c r="K36" t="s">
        <v>94</v>
      </c>
      <c r="L36" t="s">
        <v>94</v>
      </c>
      <c r="M36" t="s">
        <v>219</v>
      </c>
      <c r="N36" t="s">
        <v>133</v>
      </c>
      <c r="O36">
        <v>115932.45</v>
      </c>
      <c r="P36">
        <v>91919.9</v>
      </c>
      <c r="Q36">
        <v>0.79287464381197803</v>
      </c>
      <c r="R36">
        <v>1</v>
      </c>
      <c r="S36">
        <v>0</v>
      </c>
      <c r="T36">
        <v>0</v>
      </c>
      <c r="U36">
        <v>0</v>
      </c>
      <c r="V36">
        <v>0</v>
      </c>
      <c r="W36">
        <v>1</v>
      </c>
      <c r="X36">
        <v>2</v>
      </c>
      <c r="Y36">
        <v>0</v>
      </c>
      <c r="Z36">
        <v>7611.2153042537002</v>
      </c>
      <c r="AA36">
        <v>7217.0413321241003</v>
      </c>
      <c r="AB36">
        <v>12201.2596603155</v>
      </c>
      <c r="AC36">
        <v>3248.1211102700199</v>
      </c>
      <c r="AD36">
        <v>9144.4576019665292</v>
      </c>
      <c r="AE36">
        <v>2188.4294224977102</v>
      </c>
      <c r="AF36">
        <v>28956.932566535699</v>
      </c>
      <c r="AG36">
        <v>12653.5918648918</v>
      </c>
      <c r="AH36">
        <v>0</v>
      </c>
      <c r="AI36">
        <v>2</v>
      </c>
      <c r="AJ36">
        <v>0</v>
      </c>
      <c r="AK36">
        <v>3</v>
      </c>
      <c r="AL36">
        <v>25.2</v>
      </c>
      <c r="AM36">
        <v>3</v>
      </c>
      <c r="AN36" t="s">
        <v>103</v>
      </c>
      <c r="AO36" t="b">
        <v>0</v>
      </c>
      <c r="AP36" t="s">
        <v>103</v>
      </c>
      <c r="AQ36">
        <v>3</v>
      </c>
      <c r="AR36">
        <v>1</v>
      </c>
      <c r="AS36">
        <v>1.4720603359616</v>
      </c>
      <c r="AT36">
        <v>10</v>
      </c>
      <c r="AU36">
        <v>7.8730045380386997</v>
      </c>
      <c r="AV36">
        <v>1.7326414567252999</v>
      </c>
      <c r="AW36">
        <v>4.4487797137657799</v>
      </c>
      <c r="AX36">
        <v>35</v>
      </c>
      <c r="AY36">
        <v>12</v>
      </c>
      <c r="AZ36">
        <v>4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2</v>
      </c>
      <c r="BG36">
        <v>0</v>
      </c>
      <c r="BH36">
        <v>0</v>
      </c>
      <c r="BI36">
        <v>2</v>
      </c>
      <c r="BJ36">
        <v>4</v>
      </c>
      <c r="BK36">
        <v>4.4487797137657799</v>
      </c>
      <c r="BL36">
        <v>35</v>
      </c>
      <c r="BM36">
        <v>12</v>
      </c>
      <c r="BN36">
        <v>5.06420501390516</v>
      </c>
      <c r="BO36">
        <v>15914.2600052206</v>
      </c>
      <c r="BP36" t="s">
        <v>291</v>
      </c>
      <c r="BQ36" t="s">
        <v>828</v>
      </c>
      <c r="BR36" cm="1">
        <f t="array" ref="BR36">IF($AP36="ארצי",SUMPRODUCT(($AP$2:$AP$143="ארצי")*($BK$2:$BK$143&gt;$BK36))+1,SUMPRODUCT(($AP$2:$AP$143=$AP36)*($L$2:$L$143=$L36)*($BK$2:$BK$143&gt;$BK36))+1)</f>
        <v>5</v>
      </c>
    </row>
    <row r="37" spans="1:70" x14ac:dyDescent="0.25">
      <c r="A37">
        <v>558</v>
      </c>
      <c r="B37">
        <v>35.151415112722901</v>
      </c>
      <c r="C37">
        <v>32.823149759297102</v>
      </c>
      <c r="D37" t="s">
        <v>292</v>
      </c>
      <c r="E37" t="s">
        <v>293</v>
      </c>
      <c r="F37" t="s">
        <v>294</v>
      </c>
      <c r="G37" t="s">
        <v>295</v>
      </c>
      <c r="H37" t="s">
        <v>296</v>
      </c>
      <c r="I37" t="s">
        <v>297</v>
      </c>
      <c r="J37" t="s">
        <v>74</v>
      </c>
      <c r="K37" t="s">
        <v>86</v>
      </c>
      <c r="L37" t="s">
        <v>86</v>
      </c>
      <c r="M37" t="s">
        <v>142</v>
      </c>
      <c r="N37" t="s">
        <v>133</v>
      </c>
      <c r="O37">
        <v>4435.6332929699902</v>
      </c>
      <c r="P37">
        <v>4435.6332929699902</v>
      </c>
      <c r="Q37">
        <v>1</v>
      </c>
      <c r="R37">
        <v>6</v>
      </c>
      <c r="S37">
        <v>0</v>
      </c>
      <c r="T37">
        <v>0</v>
      </c>
      <c r="U37">
        <v>0</v>
      </c>
      <c r="V37">
        <v>0</v>
      </c>
      <c r="W37">
        <v>4</v>
      </c>
      <c r="X37">
        <v>0</v>
      </c>
      <c r="Y37">
        <v>0</v>
      </c>
      <c r="Z37">
        <v>3921.5813341621001</v>
      </c>
      <c r="AA37">
        <v>2837.3846652192401</v>
      </c>
      <c r="AB37">
        <v>5694.4956494799699</v>
      </c>
      <c r="AC37">
        <v>3540.2060367112799</v>
      </c>
      <c r="AD37">
        <v>3390.5953219919502</v>
      </c>
      <c r="AE37">
        <v>1967.9592902617901</v>
      </c>
      <c r="AF37">
        <v>13006.672305634</v>
      </c>
      <c r="AG37">
        <v>8345.5499921923201</v>
      </c>
      <c r="AH37">
        <v>1</v>
      </c>
      <c r="AI37">
        <v>2</v>
      </c>
      <c r="AJ37">
        <v>2</v>
      </c>
      <c r="AK37">
        <v>2</v>
      </c>
      <c r="AL37">
        <v>48.4</v>
      </c>
      <c r="AM37">
        <v>2</v>
      </c>
      <c r="AN37" t="s">
        <v>143</v>
      </c>
      <c r="AO37" t="b">
        <v>0</v>
      </c>
      <c r="AP37" t="s">
        <v>143</v>
      </c>
      <c r="AQ37">
        <v>2</v>
      </c>
      <c r="AR37">
        <v>7</v>
      </c>
      <c r="AS37">
        <v>2.18786424408639</v>
      </c>
      <c r="AT37">
        <v>7</v>
      </c>
      <c r="AU37">
        <v>3.6974681477520899</v>
      </c>
      <c r="AV37">
        <v>1.54793001929205</v>
      </c>
      <c r="AW37">
        <v>4.4364085440958503</v>
      </c>
      <c r="AX37">
        <v>36</v>
      </c>
      <c r="AY37">
        <v>8</v>
      </c>
      <c r="AZ37">
        <v>10</v>
      </c>
      <c r="BA37">
        <v>4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4</v>
      </c>
      <c r="BJ37">
        <v>10</v>
      </c>
      <c r="BK37">
        <v>4.4364085440958503</v>
      </c>
      <c r="BL37">
        <v>36</v>
      </c>
      <c r="BM37">
        <v>8</v>
      </c>
      <c r="BN37">
        <v>3.6469556345414502</v>
      </c>
      <c r="BO37">
        <v>12074.447842945599</v>
      </c>
      <c r="BP37" t="s">
        <v>298</v>
      </c>
      <c r="BQ37" t="s">
        <v>829</v>
      </c>
      <c r="BR37" cm="1">
        <f t="array" ref="BR37">IF($AP37="ארצי",SUMPRODUCT(($AP$2:$AP$143="ארצי")*($BK$2:$BK$143&gt;$BK37))+1,SUMPRODUCT(($AP$2:$AP$143=$AP37)*($L$2:$L$143=$L37)*($BK$2:$BK$143&gt;$BK37))+1)</f>
        <v>6</v>
      </c>
    </row>
    <row r="38" spans="1:70" x14ac:dyDescent="0.25">
      <c r="A38">
        <v>580</v>
      </c>
      <c r="B38">
        <v>34.775537208014804</v>
      </c>
      <c r="C38">
        <v>32.041010070054398</v>
      </c>
      <c r="D38" t="s">
        <v>299</v>
      </c>
      <c r="E38" t="s">
        <v>300</v>
      </c>
      <c r="F38" t="s">
        <v>138</v>
      </c>
      <c r="G38" t="s">
        <v>139</v>
      </c>
      <c r="H38" t="s">
        <v>301</v>
      </c>
      <c r="I38" t="s">
        <v>302</v>
      </c>
      <c r="J38" t="s">
        <v>74</v>
      </c>
      <c r="K38" t="s">
        <v>94</v>
      </c>
      <c r="L38" t="s">
        <v>94</v>
      </c>
      <c r="M38" t="s">
        <v>76</v>
      </c>
      <c r="N38" t="s">
        <v>77</v>
      </c>
      <c r="O38">
        <v>13274.52</v>
      </c>
      <c r="P38">
        <v>2809.22</v>
      </c>
      <c r="Q38">
        <v>0.211624977776974</v>
      </c>
      <c r="R38">
        <v>3.5</v>
      </c>
      <c r="S38">
        <v>0</v>
      </c>
      <c r="T38">
        <v>0</v>
      </c>
      <c r="U38">
        <v>0</v>
      </c>
      <c r="V38">
        <v>0</v>
      </c>
      <c r="W38">
        <v>3.5</v>
      </c>
      <c r="X38">
        <v>0</v>
      </c>
      <c r="Y38">
        <v>0</v>
      </c>
      <c r="Z38">
        <v>6821.0932044436304</v>
      </c>
      <c r="AA38">
        <v>9954.4606029096994</v>
      </c>
      <c r="AB38">
        <v>15579.786522530199</v>
      </c>
      <c r="AC38">
        <v>13494.4311937248</v>
      </c>
      <c r="AD38">
        <v>11578.7316140149</v>
      </c>
      <c r="AE38">
        <v>8692.7575845742595</v>
      </c>
      <c r="AF38">
        <v>33979.611340988798</v>
      </c>
      <c r="AG38">
        <v>32141.649381208801</v>
      </c>
      <c r="AH38">
        <v>0</v>
      </c>
      <c r="AI38">
        <v>3</v>
      </c>
      <c r="AJ38">
        <v>0</v>
      </c>
      <c r="AK38">
        <v>2</v>
      </c>
      <c r="AL38">
        <v>34.65</v>
      </c>
      <c r="AM38">
        <v>3</v>
      </c>
      <c r="AN38" t="s">
        <v>143</v>
      </c>
      <c r="AO38" t="b">
        <v>0</v>
      </c>
      <c r="AP38" t="s">
        <v>143</v>
      </c>
      <c r="AQ38">
        <v>3</v>
      </c>
      <c r="AR38">
        <v>1</v>
      </c>
      <c r="AS38">
        <v>1.7636270140555299</v>
      </c>
      <c r="AT38">
        <v>10</v>
      </c>
      <c r="AU38">
        <v>6.0311585342424001</v>
      </c>
      <c r="AV38">
        <v>2.5839795836200099</v>
      </c>
      <c r="AW38">
        <v>4.4249075051620199</v>
      </c>
      <c r="AX38">
        <v>37</v>
      </c>
      <c r="AY38">
        <v>9</v>
      </c>
      <c r="AZ38">
        <v>7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1</v>
      </c>
      <c r="BG38">
        <v>6</v>
      </c>
      <c r="BH38">
        <v>0</v>
      </c>
      <c r="BI38">
        <v>7</v>
      </c>
      <c r="BJ38">
        <v>7</v>
      </c>
      <c r="BK38">
        <v>4.4249075051620199</v>
      </c>
      <c r="BL38">
        <v>37</v>
      </c>
      <c r="BM38">
        <v>9</v>
      </c>
      <c r="BN38">
        <v>4.1230188261662901</v>
      </c>
      <c r="BO38">
        <v>33612.018949032798</v>
      </c>
      <c r="BP38" t="s">
        <v>303</v>
      </c>
      <c r="BQ38" t="s">
        <v>830</v>
      </c>
      <c r="BR38" cm="1">
        <f t="array" ref="BR38">IF($AP38="ארצי",SUMPRODUCT(($AP$2:$AP$143="ארצי")*($BK$2:$BK$143&gt;$BK38))+1,SUMPRODUCT(($AP$2:$AP$143=$AP38)*($L$2:$L$143=$L38)*($BK$2:$BK$143&gt;$BK38))+1)</f>
        <v>3</v>
      </c>
    </row>
    <row r="39" spans="1:70" x14ac:dyDescent="0.25">
      <c r="A39">
        <v>1001</v>
      </c>
      <c r="B39">
        <v>34.7978323918108</v>
      </c>
      <c r="C39">
        <v>31.368962517855099</v>
      </c>
      <c r="D39" t="s">
        <v>304</v>
      </c>
      <c r="E39" t="s">
        <v>305</v>
      </c>
      <c r="F39" t="s">
        <v>306</v>
      </c>
      <c r="G39" t="s">
        <v>307</v>
      </c>
      <c r="H39" t="s">
        <v>308</v>
      </c>
      <c r="I39" t="s">
        <v>309</v>
      </c>
      <c r="J39" t="s">
        <v>74</v>
      </c>
      <c r="K39" t="s">
        <v>102</v>
      </c>
      <c r="L39" t="s">
        <v>102</v>
      </c>
      <c r="M39" t="s">
        <v>132</v>
      </c>
      <c r="N39" t="s">
        <v>133</v>
      </c>
      <c r="O39">
        <v>18959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4</v>
      </c>
      <c r="W39">
        <v>4</v>
      </c>
      <c r="X39">
        <v>0</v>
      </c>
      <c r="Y39">
        <v>0</v>
      </c>
      <c r="Z39">
        <v>3619.0122058164002</v>
      </c>
      <c r="AA39">
        <v>900.749351255644</v>
      </c>
      <c r="AB39">
        <v>9658.5425960579905</v>
      </c>
      <c r="AC39">
        <v>2188.8959096083599</v>
      </c>
      <c r="AD39">
        <v>7137.5020527833803</v>
      </c>
      <c r="AE39">
        <v>1596.6978314263099</v>
      </c>
      <c r="AF39">
        <v>20415.056854657701</v>
      </c>
      <c r="AG39">
        <v>4686.3430922903099</v>
      </c>
      <c r="AH39">
        <v>1</v>
      </c>
      <c r="AI39">
        <v>2</v>
      </c>
      <c r="AJ39">
        <v>2</v>
      </c>
      <c r="AK39">
        <v>2</v>
      </c>
      <c r="AL39">
        <v>52.8</v>
      </c>
      <c r="AM39">
        <v>2</v>
      </c>
      <c r="AN39" t="s">
        <v>103</v>
      </c>
      <c r="AO39" t="b">
        <v>0</v>
      </c>
      <c r="AP39" t="s">
        <v>103</v>
      </c>
      <c r="AQ39">
        <v>2</v>
      </c>
      <c r="AR39">
        <v>7</v>
      </c>
      <c r="AS39">
        <v>2.3236201576962601</v>
      </c>
      <c r="AT39">
        <v>7</v>
      </c>
      <c r="AU39">
        <v>3.8810592892045901</v>
      </c>
      <c r="AV39">
        <v>1.3438542078512901</v>
      </c>
      <c r="AW39">
        <v>4.3746367345598802</v>
      </c>
      <c r="AX39">
        <v>38</v>
      </c>
      <c r="AY39">
        <v>13</v>
      </c>
      <c r="AZ39">
        <v>8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8</v>
      </c>
      <c r="BK39">
        <v>4.3746367345598802</v>
      </c>
      <c r="BL39">
        <v>38</v>
      </c>
      <c r="BM39">
        <v>13</v>
      </c>
      <c r="BN39">
        <v>4.2778154265708599</v>
      </c>
      <c r="BO39">
        <v>7832.0858447638102</v>
      </c>
      <c r="BP39" t="s">
        <v>310</v>
      </c>
      <c r="BQ39" t="s">
        <v>831</v>
      </c>
      <c r="BR39" cm="1">
        <f t="array" ref="BR39">IF($AP39="ארצי",SUMPRODUCT(($AP$2:$AP$143="ארצי")*($BK$2:$BK$143&gt;$BK39))+1,SUMPRODUCT(($AP$2:$AP$143=$AP39)*($L$2:$L$143=$L39)*($BK$2:$BK$143&gt;$BK39))+1)</f>
        <v>2</v>
      </c>
    </row>
    <row r="40" spans="1:70" x14ac:dyDescent="0.25">
      <c r="A40">
        <v>161</v>
      </c>
      <c r="B40">
        <v>34.850499010683201</v>
      </c>
      <c r="C40">
        <v>32.279002801484097</v>
      </c>
      <c r="D40" t="s">
        <v>311</v>
      </c>
      <c r="E40" t="s">
        <v>312</v>
      </c>
      <c r="F40" t="s">
        <v>128</v>
      </c>
      <c r="G40" t="s">
        <v>129</v>
      </c>
      <c r="H40" t="s">
        <v>154</v>
      </c>
      <c r="I40" t="s">
        <v>155</v>
      </c>
      <c r="J40" t="s">
        <v>74</v>
      </c>
      <c r="K40" t="s">
        <v>94</v>
      </c>
      <c r="L40" t="s">
        <v>94</v>
      </c>
      <c r="M40" t="s">
        <v>132</v>
      </c>
      <c r="N40" t="s">
        <v>133</v>
      </c>
      <c r="O40">
        <v>5121.59</v>
      </c>
      <c r="P40">
        <v>1593.59</v>
      </c>
      <c r="Q40">
        <v>0.31115141977393701</v>
      </c>
      <c r="R40">
        <v>1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12988.7189369196</v>
      </c>
      <c r="AA40">
        <v>2007.78936258884</v>
      </c>
      <c r="AB40">
        <v>13598.090070513401</v>
      </c>
      <c r="AC40">
        <v>10879.995063853599</v>
      </c>
      <c r="AD40">
        <v>6607.67629675018</v>
      </c>
      <c r="AE40">
        <v>7884.6676232262098</v>
      </c>
      <c r="AF40">
        <v>33194.485304183203</v>
      </c>
      <c r="AG40">
        <v>20772.452049668598</v>
      </c>
      <c r="AH40">
        <v>0</v>
      </c>
      <c r="AI40">
        <v>2</v>
      </c>
      <c r="AJ40">
        <v>0</v>
      </c>
      <c r="AK40">
        <v>2</v>
      </c>
      <c r="AL40">
        <v>9.9</v>
      </c>
      <c r="AM40">
        <v>0</v>
      </c>
      <c r="AN40" t="s">
        <v>134</v>
      </c>
      <c r="AO40" t="b">
        <v>0</v>
      </c>
      <c r="AP40" t="s">
        <v>134</v>
      </c>
      <c r="AQ40">
        <v>0</v>
      </c>
      <c r="AR40">
        <v>1</v>
      </c>
      <c r="AS40">
        <v>1</v>
      </c>
      <c r="AT40">
        <v>1</v>
      </c>
      <c r="AU40">
        <v>4.7420084041671497</v>
      </c>
      <c r="AV40">
        <v>2.0858519530195299</v>
      </c>
      <c r="AW40">
        <v>4.3684549997122399</v>
      </c>
      <c r="AX40">
        <v>39</v>
      </c>
      <c r="AY40">
        <v>8</v>
      </c>
      <c r="AZ40">
        <v>2</v>
      </c>
      <c r="BA40">
        <v>0</v>
      </c>
      <c r="BB40">
        <v>0</v>
      </c>
      <c r="BC40">
        <v>2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2</v>
      </c>
      <c r="BJ40">
        <v>2</v>
      </c>
      <c r="BK40">
        <v>4.3684549997122399</v>
      </c>
      <c r="BL40">
        <v>39</v>
      </c>
      <c r="BM40">
        <v>8</v>
      </c>
      <c r="BN40">
        <v>3.7094048088328</v>
      </c>
      <c r="BO40">
        <v>23256.858700571502</v>
      </c>
      <c r="BP40" t="s">
        <v>313</v>
      </c>
      <c r="BQ40" t="s">
        <v>809</v>
      </c>
      <c r="BR40" cm="1">
        <f t="array" ref="BR40">IF($AP40="ארצי",SUMPRODUCT(($AP$2:$AP$143="ארצי")*($BK$2:$BK$143&gt;$BK40))+1,SUMPRODUCT(($AP$2:$AP$143=$AP40)*($L$2:$L$143=$L40)*($BK$2:$BK$143&gt;$BK40))+1)</f>
        <v>8</v>
      </c>
    </row>
    <row r="41" spans="1:70" x14ac:dyDescent="0.25">
      <c r="A41">
        <v>157</v>
      </c>
      <c r="B41">
        <v>34.860866716870603</v>
      </c>
      <c r="C41">
        <v>32.278108731989299</v>
      </c>
      <c r="D41" t="s">
        <v>314</v>
      </c>
      <c r="E41" t="s">
        <v>315</v>
      </c>
      <c r="F41" t="s">
        <v>128</v>
      </c>
      <c r="G41" t="s">
        <v>129</v>
      </c>
      <c r="H41" t="s">
        <v>154</v>
      </c>
      <c r="I41" t="s">
        <v>155</v>
      </c>
      <c r="J41" t="s">
        <v>74</v>
      </c>
      <c r="K41" t="s">
        <v>94</v>
      </c>
      <c r="L41" t="s">
        <v>94</v>
      </c>
      <c r="M41" t="s">
        <v>132</v>
      </c>
      <c r="N41" t="s">
        <v>133</v>
      </c>
      <c r="O41">
        <v>5159.20999999999</v>
      </c>
      <c r="P41">
        <v>22.830223</v>
      </c>
      <c r="Q41">
        <v>4.4251393139647299E-3</v>
      </c>
      <c r="R41">
        <v>1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2044.69094337301</v>
      </c>
      <c r="AA41">
        <v>19171.085603971798</v>
      </c>
      <c r="AB41">
        <v>9813.7784651027996</v>
      </c>
      <c r="AC41">
        <v>12636.9112203074</v>
      </c>
      <c r="AD41">
        <v>6077.8450595101203</v>
      </c>
      <c r="AE41">
        <v>4380.4165963724799</v>
      </c>
      <c r="AF41">
        <v>17936.3144679859</v>
      </c>
      <c r="AG41">
        <v>36188.413420651697</v>
      </c>
      <c r="AH41">
        <v>0</v>
      </c>
      <c r="AI41">
        <v>2</v>
      </c>
      <c r="AJ41">
        <v>0</v>
      </c>
      <c r="AK41">
        <v>2</v>
      </c>
      <c r="AL41">
        <v>9.9</v>
      </c>
      <c r="AM41">
        <v>1</v>
      </c>
      <c r="AN41" t="s">
        <v>134</v>
      </c>
      <c r="AO41" t="b">
        <v>0</v>
      </c>
      <c r="AP41" t="s">
        <v>134</v>
      </c>
      <c r="AQ41">
        <v>1</v>
      </c>
      <c r="AR41">
        <v>1</v>
      </c>
      <c r="AS41">
        <v>1</v>
      </c>
      <c r="AT41">
        <v>4</v>
      </c>
      <c r="AU41">
        <v>4.7614602845085798</v>
      </c>
      <c r="AV41">
        <v>2.5323143583140899</v>
      </c>
      <c r="AW41">
        <v>4.2036226464896203</v>
      </c>
      <c r="AX41">
        <v>40</v>
      </c>
      <c r="AY41">
        <v>9</v>
      </c>
      <c r="AZ41">
        <v>2</v>
      </c>
      <c r="BA41">
        <v>0</v>
      </c>
      <c r="BB41">
        <v>0</v>
      </c>
      <c r="BC41">
        <v>2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2</v>
      </c>
      <c r="BJ41">
        <v>2</v>
      </c>
      <c r="BK41">
        <v>4.2036226464896203</v>
      </c>
      <c r="BL41">
        <v>40</v>
      </c>
      <c r="BM41">
        <v>9</v>
      </c>
      <c r="BN41">
        <v>3.7125832057149499</v>
      </c>
      <c r="BO41">
        <v>32537.993630118599</v>
      </c>
      <c r="BP41" t="s">
        <v>316</v>
      </c>
      <c r="BQ41" t="s">
        <v>809</v>
      </c>
      <c r="BR41" cm="1">
        <f t="array" ref="BR41">IF($AP41="ארצי",SUMPRODUCT(($AP$2:$AP$143="ארצי")*($BK$2:$BK$143&gt;$BK41))+1,SUMPRODUCT(($AP$2:$AP$143=$AP41)*($L$2:$L$143=$L41)*($BK$2:$BK$143&gt;$BK41))+1)</f>
        <v>9</v>
      </c>
    </row>
    <row r="42" spans="1:70" x14ac:dyDescent="0.25">
      <c r="A42">
        <v>565</v>
      </c>
      <c r="B42">
        <v>34.771089882607797</v>
      </c>
      <c r="C42">
        <v>32.070245471424499</v>
      </c>
      <c r="D42" t="s">
        <v>317</v>
      </c>
      <c r="E42" t="s">
        <v>318</v>
      </c>
      <c r="F42" t="s">
        <v>205</v>
      </c>
      <c r="G42" t="s">
        <v>206</v>
      </c>
      <c r="H42" t="s">
        <v>319</v>
      </c>
      <c r="I42" t="s">
        <v>320</v>
      </c>
      <c r="J42" t="s">
        <v>74</v>
      </c>
      <c r="K42" t="s">
        <v>94</v>
      </c>
      <c r="L42" t="s">
        <v>94</v>
      </c>
      <c r="M42" t="s">
        <v>76</v>
      </c>
      <c r="N42" t="s">
        <v>77</v>
      </c>
      <c r="O42">
        <v>160361.63</v>
      </c>
      <c r="P42">
        <v>104316.56</v>
      </c>
      <c r="Q42">
        <v>0.65050822943119202</v>
      </c>
      <c r="R42">
        <v>0</v>
      </c>
      <c r="S42">
        <v>0</v>
      </c>
      <c r="T42">
        <v>0</v>
      </c>
      <c r="U42">
        <v>0</v>
      </c>
      <c r="V42">
        <v>0</v>
      </c>
      <c r="W42">
        <v>3.5</v>
      </c>
      <c r="X42">
        <v>3.5</v>
      </c>
      <c r="Y42">
        <v>0</v>
      </c>
      <c r="Z42">
        <v>25191.366986750501</v>
      </c>
      <c r="AA42">
        <v>44177.3086948856</v>
      </c>
      <c r="AB42">
        <v>41743.956936798597</v>
      </c>
      <c r="AC42">
        <v>65661.733087427405</v>
      </c>
      <c r="AD42">
        <v>21320.373724825498</v>
      </c>
      <c r="AE42">
        <v>40370.8924360936</v>
      </c>
      <c r="AF42">
        <v>88255.697648374597</v>
      </c>
      <c r="AG42">
        <v>150209.93421840601</v>
      </c>
      <c r="AH42">
        <v>0</v>
      </c>
      <c r="AI42">
        <v>3</v>
      </c>
      <c r="AJ42">
        <v>0</v>
      </c>
      <c r="AK42">
        <v>2</v>
      </c>
      <c r="AL42">
        <v>42.35</v>
      </c>
      <c r="AM42">
        <v>0</v>
      </c>
      <c r="AN42" t="s">
        <v>103</v>
      </c>
      <c r="AO42" t="b">
        <v>0</v>
      </c>
      <c r="AP42" t="s">
        <v>103</v>
      </c>
      <c r="AQ42">
        <v>0</v>
      </c>
      <c r="AR42">
        <v>1</v>
      </c>
      <c r="AS42">
        <v>2.0011998628728098</v>
      </c>
      <c r="AT42">
        <v>1</v>
      </c>
      <c r="AU42">
        <v>8.5882313462998301</v>
      </c>
      <c r="AV42">
        <v>7.5967865906524299</v>
      </c>
      <c r="AW42">
        <v>4.1209330939192004</v>
      </c>
      <c r="AX42">
        <v>41</v>
      </c>
      <c r="AY42">
        <v>14</v>
      </c>
      <c r="AZ42">
        <v>7</v>
      </c>
      <c r="BA42">
        <v>0</v>
      </c>
      <c r="BB42">
        <v>2</v>
      </c>
      <c r="BC42">
        <v>0</v>
      </c>
      <c r="BD42">
        <v>0</v>
      </c>
      <c r="BE42">
        <v>0</v>
      </c>
      <c r="BF42">
        <v>0</v>
      </c>
      <c r="BG42">
        <v>5</v>
      </c>
      <c r="BH42">
        <v>0</v>
      </c>
      <c r="BI42">
        <v>7</v>
      </c>
      <c r="BJ42">
        <v>7</v>
      </c>
      <c r="BK42">
        <v>4.1209330939192004</v>
      </c>
      <c r="BL42">
        <v>41</v>
      </c>
      <c r="BM42">
        <v>14</v>
      </c>
      <c r="BN42">
        <v>5.2051004619985797</v>
      </c>
      <c r="BO42">
        <v>137819.0869044</v>
      </c>
      <c r="BP42" t="s">
        <v>321</v>
      </c>
      <c r="BQ42" t="s">
        <v>832</v>
      </c>
      <c r="BR42" cm="1">
        <f t="array" ref="BR42">IF($AP42="ארצי",SUMPRODUCT(($AP$2:$AP$143="ארצי")*($BK$2:$BK$143&gt;$BK42))+1,SUMPRODUCT(($AP$2:$AP$143=$AP42)*($L$2:$L$143=$L42)*($BK$2:$BK$143&gt;$BK42))+1)</f>
        <v>6</v>
      </c>
    </row>
    <row r="43" spans="1:70" x14ac:dyDescent="0.25">
      <c r="A43">
        <v>305</v>
      </c>
      <c r="B43">
        <v>34.804879121216999</v>
      </c>
      <c r="C43">
        <v>31.908678484911999</v>
      </c>
      <c r="D43" t="s">
        <v>322</v>
      </c>
      <c r="E43" t="s">
        <v>323</v>
      </c>
      <c r="F43" t="s">
        <v>324</v>
      </c>
      <c r="G43" t="s">
        <v>325</v>
      </c>
      <c r="H43" t="s">
        <v>326</v>
      </c>
      <c r="I43" t="s">
        <v>327</v>
      </c>
      <c r="J43" t="s">
        <v>74</v>
      </c>
      <c r="K43" t="s">
        <v>94</v>
      </c>
      <c r="L43" t="s">
        <v>94</v>
      </c>
      <c r="M43" t="s">
        <v>219</v>
      </c>
      <c r="N43" t="s">
        <v>133</v>
      </c>
      <c r="O43">
        <v>159075.97211999999</v>
      </c>
      <c r="P43">
        <v>115918.17012</v>
      </c>
      <c r="Q43">
        <v>0.72869691490903699</v>
      </c>
      <c r="R43">
        <v>6</v>
      </c>
      <c r="S43">
        <v>0</v>
      </c>
      <c r="T43">
        <v>0</v>
      </c>
      <c r="U43">
        <v>0</v>
      </c>
      <c r="V43">
        <v>3</v>
      </c>
      <c r="W43">
        <v>6</v>
      </c>
      <c r="X43">
        <v>4</v>
      </c>
      <c r="Y43">
        <v>3</v>
      </c>
      <c r="Z43">
        <v>2996.6944114913199</v>
      </c>
      <c r="AA43">
        <v>15691.7568081468</v>
      </c>
      <c r="AB43">
        <v>11827.4144538616</v>
      </c>
      <c r="AC43">
        <v>19344.147162511399</v>
      </c>
      <c r="AD43">
        <v>8457.8465332545602</v>
      </c>
      <c r="AE43">
        <v>10721.144892262701</v>
      </c>
      <c r="AF43">
        <v>23281.955398607501</v>
      </c>
      <c r="AG43">
        <v>45757.048862921001</v>
      </c>
      <c r="AH43">
        <v>0</v>
      </c>
      <c r="AI43">
        <v>2</v>
      </c>
      <c r="AJ43">
        <v>0</v>
      </c>
      <c r="AK43">
        <v>5</v>
      </c>
      <c r="AL43">
        <v>163.79999999999899</v>
      </c>
      <c r="AM43">
        <v>2</v>
      </c>
      <c r="AN43" t="s">
        <v>78</v>
      </c>
      <c r="AO43" t="b">
        <v>0</v>
      </c>
      <c r="AP43" t="s">
        <v>78</v>
      </c>
      <c r="AQ43">
        <v>2</v>
      </c>
      <c r="AR43">
        <v>1</v>
      </c>
      <c r="AS43">
        <v>5.7483716146725996</v>
      </c>
      <c r="AT43">
        <v>7</v>
      </c>
      <c r="AU43">
        <v>4.4819920703112697</v>
      </c>
      <c r="AV43">
        <v>2.9519779411695901</v>
      </c>
      <c r="AW43">
        <v>4.0815995425707303</v>
      </c>
      <c r="AX43">
        <v>42</v>
      </c>
      <c r="AY43">
        <v>10</v>
      </c>
      <c r="AZ43">
        <v>22</v>
      </c>
      <c r="BA43">
        <v>1</v>
      </c>
      <c r="BB43">
        <v>0</v>
      </c>
      <c r="BC43">
        <v>3</v>
      </c>
      <c r="BD43">
        <v>0</v>
      </c>
      <c r="BE43">
        <v>0</v>
      </c>
      <c r="BF43">
        <v>6</v>
      </c>
      <c r="BG43">
        <v>0</v>
      </c>
      <c r="BH43">
        <v>0</v>
      </c>
      <c r="BI43">
        <v>10</v>
      </c>
      <c r="BJ43">
        <v>22</v>
      </c>
      <c r="BK43">
        <v>4.0815995425707303</v>
      </c>
      <c r="BL43">
        <v>42</v>
      </c>
      <c r="BM43">
        <v>10</v>
      </c>
      <c r="BN43">
        <v>5.2016045859083304</v>
      </c>
      <c r="BO43">
        <v>41262.0301700583</v>
      </c>
      <c r="BP43" t="s">
        <v>328</v>
      </c>
      <c r="BQ43" t="s">
        <v>833</v>
      </c>
      <c r="BR43" cm="1">
        <f t="array" ref="BR43">IF($AP43="ארצי",SUMPRODUCT(($AP$2:$AP$143="ארצי")*($BK$2:$BK$143&gt;$BK43))+1,SUMPRODUCT(($AP$2:$AP$143=$AP43)*($L$2:$L$143=$L43)*($BK$2:$BK$143&gt;$BK43))+1)</f>
        <v>10</v>
      </c>
    </row>
    <row r="44" spans="1:70" x14ac:dyDescent="0.25">
      <c r="A44">
        <v>457</v>
      </c>
      <c r="B44">
        <v>34.862768403924001</v>
      </c>
      <c r="C44">
        <v>32.105676236047302</v>
      </c>
      <c r="D44" t="s">
        <v>329</v>
      </c>
      <c r="E44" t="s">
        <v>330</v>
      </c>
      <c r="F44" t="s">
        <v>331</v>
      </c>
      <c r="G44" t="s">
        <v>332</v>
      </c>
      <c r="H44" t="s">
        <v>333</v>
      </c>
      <c r="I44" t="s">
        <v>334</v>
      </c>
      <c r="J44" t="s">
        <v>74</v>
      </c>
      <c r="K44" t="s">
        <v>94</v>
      </c>
      <c r="L44" t="s">
        <v>94</v>
      </c>
      <c r="M44" t="s">
        <v>219</v>
      </c>
      <c r="N44" t="s">
        <v>133</v>
      </c>
      <c r="O44">
        <v>123946.47</v>
      </c>
      <c r="P44">
        <v>119028.47</v>
      </c>
      <c r="Q44">
        <v>0.96032158075982299</v>
      </c>
      <c r="R44">
        <v>0</v>
      </c>
      <c r="S44">
        <v>0</v>
      </c>
      <c r="T44">
        <v>0</v>
      </c>
      <c r="U44">
        <v>0</v>
      </c>
      <c r="V44">
        <v>0</v>
      </c>
      <c r="W44">
        <v>4</v>
      </c>
      <c r="X44">
        <v>2</v>
      </c>
      <c r="Y44">
        <v>2</v>
      </c>
      <c r="Z44">
        <v>462.11098999340197</v>
      </c>
      <c r="AA44">
        <v>2820.8066036258401</v>
      </c>
      <c r="AB44">
        <v>3588.43289225132</v>
      </c>
      <c r="AC44">
        <v>10973.222008167701</v>
      </c>
      <c r="AD44">
        <v>3889.99783458925</v>
      </c>
      <c r="AE44">
        <v>9125.6164484873298</v>
      </c>
      <c r="AF44">
        <v>7940.54171683397</v>
      </c>
      <c r="AG44">
        <v>22919.645060280902</v>
      </c>
      <c r="AH44">
        <v>0</v>
      </c>
      <c r="AI44">
        <v>2</v>
      </c>
      <c r="AJ44">
        <v>0</v>
      </c>
      <c r="AK44">
        <v>3</v>
      </c>
      <c r="AL44">
        <v>52.8</v>
      </c>
      <c r="AM44">
        <v>2</v>
      </c>
      <c r="AN44" t="s">
        <v>103</v>
      </c>
      <c r="AO44" t="b">
        <v>0</v>
      </c>
      <c r="AP44" t="s">
        <v>103</v>
      </c>
      <c r="AQ44">
        <v>2</v>
      </c>
      <c r="AR44">
        <v>1</v>
      </c>
      <c r="AS44">
        <v>2.3236201576962601</v>
      </c>
      <c r="AT44">
        <v>7</v>
      </c>
      <c r="AU44">
        <v>8.0203650498076193</v>
      </c>
      <c r="AV44">
        <v>1.9255187043583999</v>
      </c>
      <c r="AW44">
        <v>4.0717461644177</v>
      </c>
      <c r="AX44">
        <v>43</v>
      </c>
      <c r="AY44">
        <v>15</v>
      </c>
      <c r="AZ44">
        <v>8</v>
      </c>
      <c r="BA44">
        <v>2</v>
      </c>
      <c r="BB44">
        <v>0</v>
      </c>
      <c r="BC44">
        <v>0</v>
      </c>
      <c r="BD44">
        <v>0</v>
      </c>
      <c r="BE44">
        <v>0</v>
      </c>
      <c r="BF44">
        <v>2</v>
      </c>
      <c r="BG44">
        <v>0</v>
      </c>
      <c r="BH44">
        <v>0</v>
      </c>
      <c r="BI44">
        <v>4</v>
      </c>
      <c r="BJ44">
        <v>8</v>
      </c>
      <c r="BK44">
        <v>4.0717461644177</v>
      </c>
      <c r="BL44">
        <v>43</v>
      </c>
      <c r="BM44">
        <v>15</v>
      </c>
      <c r="BN44">
        <v>5.0932341625572297</v>
      </c>
      <c r="BO44">
        <v>19923.824391591501</v>
      </c>
      <c r="BP44" t="s">
        <v>335</v>
      </c>
      <c r="BQ44" t="s">
        <v>834</v>
      </c>
      <c r="BR44" cm="1">
        <f t="array" ref="BR44">IF($AP44="ארצי",SUMPRODUCT(($AP$2:$AP$143="ארצי")*($BK$2:$BK$143&gt;$BK44))+1,SUMPRODUCT(($AP$2:$AP$143=$AP44)*($L$2:$L$143=$L44)*($BK$2:$BK$143&gt;$BK44))+1)</f>
        <v>7</v>
      </c>
    </row>
    <row r="45" spans="1:70" x14ac:dyDescent="0.25">
      <c r="A45">
        <v>946</v>
      </c>
      <c r="B45">
        <v>34.6659199157939</v>
      </c>
      <c r="C45">
        <v>31.774495625484001</v>
      </c>
      <c r="D45" t="s">
        <v>336</v>
      </c>
      <c r="E45" t="s">
        <v>337</v>
      </c>
      <c r="F45" t="s">
        <v>338</v>
      </c>
      <c r="G45" t="s">
        <v>339</v>
      </c>
      <c r="H45" t="s">
        <v>340</v>
      </c>
      <c r="I45" t="s">
        <v>341</v>
      </c>
      <c r="J45" t="s">
        <v>74</v>
      </c>
      <c r="K45" t="s">
        <v>94</v>
      </c>
      <c r="L45" t="s">
        <v>94</v>
      </c>
      <c r="M45" t="s">
        <v>132</v>
      </c>
      <c r="N45" t="s">
        <v>133</v>
      </c>
      <c r="O45">
        <v>30260.87</v>
      </c>
      <c r="P45">
        <v>26483.99</v>
      </c>
      <c r="Q45">
        <v>0.87518931213808404</v>
      </c>
      <c r="R45">
        <v>0</v>
      </c>
      <c r="S45">
        <v>0</v>
      </c>
      <c r="T45">
        <v>0</v>
      </c>
      <c r="U45">
        <v>0</v>
      </c>
      <c r="V45">
        <v>3.6666666666666599</v>
      </c>
      <c r="W45">
        <v>8.6666666666666607</v>
      </c>
      <c r="X45">
        <v>0</v>
      </c>
      <c r="Y45">
        <v>3.6666666666666599</v>
      </c>
      <c r="Z45">
        <v>4753.6015218254997</v>
      </c>
      <c r="AA45">
        <v>4377.7511660779801</v>
      </c>
      <c r="AB45">
        <v>7963.5706089425703</v>
      </c>
      <c r="AC45">
        <v>4025.4657146852401</v>
      </c>
      <c r="AD45">
        <v>5857.77868725196</v>
      </c>
      <c r="AE45">
        <v>2428.21961984362</v>
      </c>
      <c r="AF45">
        <v>18574.950818019999</v>
      </c>
      <c r="AG45">
        <v>10831.4365006068</v>
      </c>
      <c r="AH45">
        <v>0</v>
      </c>
      <c r="AI45">
        <v>2</v>
      </c>
      <c r="AJ45">
        <v>0</v>
      </c>
      <c r="AK45">
        <v>3</v>
      </c>
      <c r="AL45">
        <v>109.2</v>
      </c>
      <c r="AM45">
        <v>2</v>
      </c>
      <c r="AN45" t="s">
        <v>103</v>
      </c>
      <c r="AO45" t="b">
        <v>0</v>
      </c>
      <c r="AP45" t="s">
        <v>103</v>
      </c>
      <c r="AQ45">
        <v>2</v>
      </c>
      <c r="AR45">
        <v>1</v>
      </c>
      <c r="AS45">
        <v>4.0637641412410002</v>
      </c>
      <c r="AT45">
        <v>7</v>
      </c>
      <c r="AU45">
        <v>4.9118820520419</v>
      </c>
      <c r="AV45">
        <v>1.56263509284652</v>
      </c>
      <c r="AW45">
        <v>4.0429857763968302</v>
      </c>
      <c r="AX45">
        <v>44</v>
      </c>
      <c r="AY45">
        <v>16</v>
      </c>
      <c r="AZ45">
        <v>15.999999999999901</v>
      </c>
      <c r="BA45">
        <v>1</v>
      </c>
      <c r="BB45">
        <v>0</v>
      </c>
      <c r="BC45">
        <v>4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5</v>
      </c>
      <c r="BJ45">
        <v>16</v>
      </c>
      <c r="BK45">
        <v>4.0429857763968302</v>
      </c>
      <c r="BL45">
        <v>44</v>
      </c>
      <c r="BM45">
        <v>16</v>
      </c>
      <c r="BN45">
        <v>4.48088140983283</v>
      </c>
      <c r="BO45">
        <v>12380.1393640894</v>
      </c>
      <c r="BP45" t="s">
        <v>342</v>
      </c>
      <c r="BQ45" t="s">
        <v>835</v>
      </c>
      <c r="BR45" cm="1">
        <f t="array" ref="BR45">IF($AP45="ארצי",SUMPRODUCT(($AP$2:$AP$143="ארצי")*($BK$2:$BK$143&gt;$BK45))+1,SUMPRODUCT(($AP$2:$AP$143=$AP45)*($L$2:$L$143=$L45)*($BK$2:$BK$143&gt;$BK45))+1)</f>
        <v>8</v>
      </c>
    </row>
    <row r="46" spans="1:70" x14ac:dyDescent="0.25">
      <c r="A46">
        <v>12</v>
      </c>
      <c r="B46">
        <v>34.927732419695303</v>
      </c>
      <c r="C46">
        <v>32.321433605659102</v>
      </c>
      <c r="D46" t="s">
        <v>343</v>
      </c>
      <c r="E46" t="s">
        <v>344</v>
      </c>
      <c r="F46" t="s">
        <v>128</v>
      </c>
      <c r="G46" t="s">
        <v>129</v>
      </c>
      <c r="H46" t="s">
        <v>154</v>
      </c>
      <c r="I46" t="s">
        <v>155</v>
      </c>
      <c r="J46" t="s">
        <v>74</v>
      </c>
      <c r="K46" t="s">
        <v>94</v>
      </c>
      <c r="L46" t="s">
        <v>94</v>
      </c>
      <c r="M46" t="s">
        <v>132</v>
      </c>
      <c r="N46" t="s">
        <v>133</v>
      </c>
      <c r="O46">
        <v>13907.1</v>
      </c>
      <c r="P46">
        <v>2464.34</v>
      </c>
      <c r="Q46">
        <v>0.17720013518274799</v>
      </c>
      <c r="R46">
        <v>1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5547.5310843948</v>
      </c>
      <c r="AA46">
        <v>2533.00877295598</v>
      </c>
      <c r="AB46">
        <v>8695.1631027681306</v>
      </c>
      <c r="AC46">
        <v>3827.1370987289001</v>
      </c>
      <c r="AD46">
        <v>5680.2459185730904</v>
      </c>
      <c r="AE46">
        <v>2458.7420193858002</v>
      </c>
      <c r="AF46">
        <v>19922.940105736001</v>
      </c>
      <c r="AG46">
        <v>8818.8878910706808</v>
      </c>
      <c r="AH46">
        <v>0</v>
      </c>
      <c r="AI46">
        <v>2</v>
      </c>
      <c r="AJ46">
        <v>0</v>
      </c>
      <c r="AK46">
        <v>2</v>
      </c>
      <c r="AL46">
        <v>9.9</v>
      </c>
      <c r="AM46">
        <v>0</v>
      </c>
      <c r="AN46" t="s">
        <v>134</v>
      </c>
      <c r="AO46" t="b">
        <v>0</v>
      </c>
      <c r="AP46" t="s">
        <v>134</v>
      </c>
      <c r="AQ46">
        <v>0</v>
      </c>
      <c r="AR46">
        <v>1</v>
      </c>
      <c r="AS46">
        <v>1</v>
      </c>
      <c r="AT46">
        <v>1</v>
      </c>
      <c r="AU46">
        <v>7.3970713069905099</v>
      </c>
      <c r="AV46">
        <v>1.49815412893527</v>
      </c>
      <c r="AW46">
        <v>3.9853588743449699</v>
      </c>
      <c r="AX46">
        <v>45</v>
      </c>
      <c r="AY46">
        <v>10</v>
      </c>
      <c r="AZ46">
        <v>2</v>
      </c>
      <c r="BA46">
        <v>0</v>
      </c>
      <c r="BB46">
        <v>0</v>
      </c>
      <c r="BC46">
        <v>2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2</v>
      </c>
      <c r="BJ46">
        <v>2</v>
      </c>
      <c r="BK46">
        <v>3.9853588743449699</v>
      </c>
      <c r="BL46">
        <v>45</v>
      </c>
      <c r="BM46">
        <v>10</v>
      </c>
      <c r="BN46">
        <v>4.1432365774900104</v>
      </c>
      <c r="BO46">
        <v>11039.6983340037</v>
      </c>
      <c r="BP46" t="s">
        <v>345</v>
      </c>
      <c r="BQ46" t="s">
        <v>809</v>
      </c>
      <c r="BR46" cm="1">
        <f t="array" ref="BR46">IF($AP46="ארצי",SUMPRODUCT(($AP$2:$AP$143="ארצי")*($BK$2:$BK$143&gt;$BK46))+1,SUMPRODUCT(($AP$2:$AP$143=$AP46)*($L$2:$L$143=$L46)*($BK$2:$BK$143&gt;$BK46))+1)</f>
        <v>10</v>
      </c>
    </row>
    <row r="47" spans="1:70" x14ac:dyDescent="0.25">
      <c r="A47">
        <v>110</v>
      </c>
      <c r="B47">
        <v>34.853451486266998</v>
      </c>
      <c r="C47">
        <v>32.181685186549103</v>
      </c>
      <c r="D47" t="s">
        <v>346</v>
      </c>
      <c r="E47" t="s">
        <v>347</v>
      </c>
      <c r="F47" t="s">
        <v>348</v>
      </c>
      <c r="G47" t="s">
        <v>349</v>
      </c>
      <c r="H47" t="s">
        <v>350</v>
      </c>
      <c r="I47" t="s">
        <v>351</v>
      </c>
      <c r="J47" t="s">
        <v>74</v>
      </c>
      <c r="K47" t="s">
        <v>94</v>
      </c>
      <c r="L47" t="s">
        <v>94</v>
      </c>
      <c r="M47" t="s">
        <v>142</v>
      </c>
      <c r="N47" t="s">
        <v>133</v>
      </c>
      <c r="O47">
        <v>45735.81</v>
      </c>
      <c r="P47">
        <v>45169.66</v>
      </c>
      <c r="Q47">
        <v>0.98762129718485303</v>
      </c>
      <c r="R47">
        <v>2</v>
      </c>
      <c r="S47">
        <v>0</v>
      </c>
      <c r="T47">
        <v>0</v>
      </c>
      <c r="U47">
        <v>0</v>
      </c>
      <c r="V47">
        <v>0</v>
      </c>
      <c r="W47">
        <v>0</v>
      </c>
      <c r="X47">
        <v>2</v>
      </c>
      <c r="Y47">
        <v>0</v>
      </c>
      <c r="Z47">
        <v>11565.1112152358</v>
      </c>
      <c r="AA47">
        <v>3533.2510118134401</v>
      </c>
      <c r="AB47">
        <v>19330.5106817708</v>
      </c>
      <c r="AC47">
        <v>6647.3432106793898</v>
      </c>
      <c r="AD47">
        <v>14062.021372225399</v>
      </c>
      <c r="AE47">
        <v>4724.1185364080302</v>
      </c>
      <c r="AF47">
        <v>44957.643269232198</v>
      </c>
      <c r="AG47">
        <v>14904.7127589008</v>
      </c>
      <c r="AH47">
        <v>0</v>
      </c>
      <c r="AI47">
        <v>2</v>
      </c>
      <c r="AJ47">
        <v>0</v>
      </c>
      <c r="AK47">
        <v>2</v>
      </c>
      <c r="AL47">
        <v>22</v>
      </c>
      <c r="AM47">
        <v>3</v>
      </c>
      <c r="AN47" t="s">
        <v>103</v>
      </c>
      <c r="AO47" t="b">
        <v>0</v>
      </c>
      <c r="AP47" t="s">
        <v>103</v>
      </c>
      <c r="AQ47">
        <v>3</v>
      </c>
      <c r="AR47">
        <v>1</v>
      </c>
      <c r="AS47">
        <v>1.37332876242715</v>
      </c>
      <c r="AT47">
        <v>10</v>
      </c>
      <c r="AU47">
        <v>5.8224422267741298</v>
      </c>
      <c r="AV47">
        <v>1.97321287966625</v>
      </c>
      <c r="AW47">
        <v>3.9792499431600801</v>
      </c>
      <c r="AX47">
        <v>46</v>
      </c>
      <c r="AY47">
        <v>17</v>
      </c>
      <c r="AZ47">
        <v>4</v>
      </c>
      <c r="BA47">
        <v>2</v>
      </c>
      <c r="BB47">
        <v>0</v>
      </c>
      <c r="BC47">
        <v>0</v>
      </c>
      <c r="BD47">
        <v>0</v>
      </c>
      <c r="BE47">
        <v>0</v>
      </c>
      <c r="BF47">
        <v>2</v>
      </c>
      <c r="BG47">
        <v>0</v>
      </c>
      <c r="BH47">
        <v>0</v>
      </c>
      <c r="BI47">
        <v>4</v>
      </c>
      <c r="BJ47">
        <v>4</v>
      </c>
      <c r="BK47">
        <v>3.9792499431600801</v>
      </c>
      <c r="BL47">
        <v>46</v>
      </c>
      <c r="BM47">
        <v>17</v>
      </c>
      <c r="BN47">
        <v>4.6602563750230104</v>
      </c>
      <c r="BO47">
        <v>20915.298860967101</v>
      </c>
      <c r="BP47" t="s">
        <v>352</v>
      </c>
      <c r="BQ47" t="s">
        <v>836</v>
      </c>
      <c r="BR47" cm="1">
        <f t="array" ref="BR47">IF($AP47="ארצי",SUMPRODUCT(($AP$2:$AP$143="ארצי")*($BK$2:$BK$143&gt;$BK47))+1,SUMPRODUCT(($AP$2:$AP$143=$AP47)*($L$2:$L$143=$L47)*($BK$2:$BK$143&gt;$BK47))+1)</f>
        <v>9</v>
      </c>
    </row>
    <row r="48" spans="1:70" x14ac:dyDescent="0.25">
      <c r="A48">
        <v>388</v>
      </c>
      <c r="B48">
        <v>34.801447631295098</v>
      </c>
      <c r="C48">
        <v>31.964223449178199</v>
      </c>
      <c r="D48" t="s">
        <v>353</v>
      </c>
      <c r="E48" t="s">
        <v>354</v>
      </c>
      <c r="F48" t="s">
        <v>355</v>
      </c>
      <c r="G48" t="s">
        <v>356</v>
      </c>
      <c r="H48" t="s">
        <v>357</v>
      </c>
      <c r="I48" t="s">
        <v>358</v>
      </c>
      <c r="J48" t="s">
        <v>74</v>
      </c>
      <c r="K48" t="s">
        <v>94</v>
      </c>
      <c r="L48" t="s">
        <v>94</v>
      </c>
      <c r="M48" t="s">
        <v>219</v>
      </c>
      <c r="N48" t="s">
        <v>133</v>
      </c>
      <c r="O48">
        <v>195687.23</v>
      </c>
      <c r="P48">
        <v>153091.22999999899</v>
      </c>
      <c r="Q48">
        <v>0.78232611295075205</v>
      </c>
      <c r="R48">
        <v>7</v>
      </c>
      <c r="S48">
        <v>0</v>
      </c>
      <c r="T48">
        <v>0</v>
      </c>
      <c r="U48">
        <v>0</v>
      </c>
      <c r="V48">
        <v>0</v>
      </c>
      <c r="W48">
        <v>7</v>
      </c>
      <c r="X48">
        <v>4</v>
      </c>
      <c r="Y48">
        <v>0</v>
      </c>
      <c r="Z48">
        <v>24724.223723914001</v>
      </c>
      <c r="AA48">
        <v>11903.0520350364</v>
      </c>
      <c r="AB48">
        <v>35284.5695721515</v>
      </c>
      <c r="AC48">
        <v>13798.209052456201</v>
      </c>
      <c r="AD48">
        <v>21544.302853433499</v>
      </c>
      <c r="AE48">
        <v>7374.7746384340999</v>
      </c>
      <c r="AF48">
        <v>81553.096149499004</v>
      </c>
      <c r="AG48">
        <v>33076.035725926697</v>
      </c>
      <c r="AH48">
        <v>0</v>
      </c>
      <c r="AI48">
        <v>2</v>
      </c>
      <c r="AJ48">
        <v>0</v>
      </c>
      <c r="AK48">
        <v>3</v>
      </c>
      <c r="AL48">
        <v>104.4</v>
      </c>
      <c r="AM48">
        <v>0</v>
      </c>
      <c r="AN48" t="s">
        <v>103</v>
      </c>
      <c r="AO48" t="b">
        <v>0</v>
      </c>
      <c r="AP48" t="s">
        <v>103</v>
      </c>
      <c r="AQ48">
        <v>0</v>
      </c>
      <c r="AR48">
        <v>1</v>
      </c>
      <c r="AS48">
        <v>3.9156667809393202</v>
      </c>
      <c r="AT48">
        <v>1</v>
      </c>
      <c r="AU48">
        <v>9.0271380541806199</v>
      </c>
      <c r="AV48">
        <v>3.0245874049392998</v>
      </c>
      <c r="AW48">
        <v>3.9463235084922501</v>
      </c>
      <c r="AX48">
        <v>47</v>
      </c>
      <c r="AY48">
        <v>18</v>
      </c>
      <c r="AZ48">
        <v>18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12</v>
      </c>
      <c r="BG48">
        <v>0</v>
      </c>
      <c r="BH48">
        <v>0</v>
      </c>
      <c r="BI48">
        <v>12</v>
      </c>
      <c r="BJ48">
        <v>18</v>
      </c>
      <c r="BK48">
        <v>3.9463235084922501</v>
      </c>
      <c r="BL48">
        <v>47</v>
      </c>
      <c r="BM48">
        <v>18</v>
      </c>
      <c r="BN48">
        <v>5.2915624857423804</v>
      </c>
      <c r="BO48">
        <v>42771.447810641199</v>
      </c>
      <c r="BP48" t="s">
        <v>359</v>
      </c>
      <c r="BQ48" t="s">
        <v>837</v>
      </c>
      <c r="BR48" cm="1">
        <f t="array" ref="BR48">IF($AP48="ארצי",SUMPRODUCT(($AP$2:$AP$143="ארצי")*($BK$2:$BK$143&gt;$BK48))+1,SUMPRODUCT(($AP$2:$AP$143=$AP48)*($L$2:$L$143=$L48)*($BK$2:$BK$143&gt;$BK48))+1)</f>
        <v>10</v>
      </c>
    </row>
    <row r="49" spans="1:70" x14ac:dyDescent="0.25">
      <c r="A49">
        <v>681</v>
      </c>
      <c r="B49">
        <v>34.7604640629649</v>
      </c>
      <c r="C49">
        <v>32.035316418752103</v>
      </c>
      <c r="D49" t="s">
        <v>360</v>
      </c>
      <c r="E49" t="s">
        <v>361</v>
      </c>
      <c r="F49" t="s">
        <v>362</v>
      </c>
      <c r="G49" t="s">
        <v>363</v>
      </c>
      <c r="H49" t="s">
        <v>364</v>
      </c>
      <c r="I49" t="s">
        <v>365</v>
      </c>
      <c r="J49" t="s">
        <v>74</v>
      </c>
      <c r="K49" t="s">
        <v>94</v>
      </c>
      <c r="L49" t="s">
        <v>94</v>
      </c>
      <c r="M49" t="s">
        <v>142</v>
      </c>
      <c r="N49" t="s">
        <v>133</v>
      </c>
      <c r="O49">
        <v>75179.850000000006</v>
      </c>
      <c r="P49">
        <v>61183.879999999903</v>
      </c>
      <c r="Q49">
        <v>0.81383349394817805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3</v>
      </c>
      <c r="Y49">
        <v>3</v>
      </c>
      <c r="Z49">
        <v>17758.6975435024</v>
      </c>
      <c r="AA49">
        <v>8651.6189401323809</v>
      </c>
      <c r="AB49">
        <v>33990.119868403301</v>
      </c>
      <c r="AC49">
        <v>8046.6455319577699</v>
      </c>
      <c r="AD49">
        <v>19591.396696201798</v>
      </c>
      <c r="AE49">
        <v>4825.3483933673197</v>
      </c>
      <c r="AF49">
        <v>71340.214108107699</v>
      </c>
      <c r="AG49">
        <v>21523.612865457399</v>
      </c>
      <c r="AH49">
        <v>0</v>
      </c>
      <c r="AI49">
        <v>2</v>
      </c>
      <c r="AJ49">
        <v>0</v>
      </c>
      <c r="AK49">
        <v>2</v>
      </c>
      <c r="AL49">
        <v>39.6</v>
      </c>
      <c r="AM49">
        <v>2</v>
      </c>
      <c r="AN49" t="s">
        <v>103</v>
      </c>
      <c r="AO49" t="b">
        <v>0</v>
      </c>
      <c r="AP49" t="s">
        <v>103</v>
      </c>
      <c r="AQ49">
        <v>2</v>
      </c>
      <c r="AR49">
        <v>1</v>
      </c>
      <c r="AS49">
        <v>1.9163524168666399</v>
      </c>
      <c r="AT49">
        <v>7</v>
      </c>
      <c r="AU49">
        <v>6.9181354491253604</v>
      </c>
      <c r="AV49">
        <v>2.4817538385388498</v>
      </c>
      <c r="AW49">
        <v>3.93281723801414</v>
      </c>
      <c r="AX49">
        <v>48</v>
      </c>
      <c r="AY49">
        <v>19</v>
      </c>
      <c r="AZ49">
        <v>6</v>
      </c>
      <c r="BA49">
        <v>0</v>
      </c>
      <c r="BB49">
        <v>2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2</v>
      </c>
      <c r="BJ49">
        <v>6</v>
      </c>
      <c r="BK49">
        <v>3.93281723801414</v>
      </c>
      <c r="BL49">
        <v>48</v>
      </c>
      <c r="BM49">
        <v>19</v>
      </c>
      <c r="BN49">
        <v>4.8761014548675803</v>
      </c>
      <c r="BO49">
        <v>31486.933113987499</v>
      </c>
      <c r="BP49" t="s">
        <v>366</v>
      </c>
      <c r="BQ49" t="s">
        <v>838</v>
      </c>
      <c r="BR49" cm="1">
        <f t="array" ref="BR49">IF($AP49="ארצי",SUMPRODUCT(($AP$2:$AP$143="ארצי")*($BK$2:$BK$143&gt;$BK49))+1,SUMPRODUCT(($AP$2:$AP$143=$AP49)*($L$2:$L$143=$L49)*($BK$2:$BK$143&gt;$BK49))+1)</f>
        <v>11</v>
      </c>
    </row>
    <row r="50" spans="1:70" x14ac:dyDescent="0.25">
      <c r="A50">
        <v>2</v>
      </c>
      <c r="B50">
        <v>35.002969699626597</v>
      </c>
      <c r="C50">
        <v>32.271786870442497</v>
      </c>
      <c r="D50" t="s">
        <v>367</v>
      </c>
      <c r="E50" t="s">
        <v>368</v>
      </c>
      <c r="F50" t="s">
        <v>128</v>
      </c>
      <c r="G50" t="s">
        <v>129</v>
      </c>
      <c r="H50" t="s">
        <v>154</v>
      </c>
      <c r="I50" t="s">
        <v>155</v>
      </c>
      <c r="J50" t="s">
        <v>74</v>
      </c>
      <c r="K50" t="s">
        <v>94</v>
      </c>
      <c r="L50" t="s">
        <v>94</v>
      </c>
      <c r="M50" t="s">
        <v>132</v>
      </c>
      <c r="N50" t="s">
        <v>133</v>
      </c>
      <c r="O50">
        <v>4286.3899999999903</v>
      </c>
      <c r="P50">
        <v>30.050159499999999</v>
      </c>
      <c r="Q50">
        <v>7.0105985456293003E-3</v>
      </c>
      <c r="R50">
        <v>1</v>
      </c>
      <c r="S50">
        <v>0</v>
      </c>
      <c r="T50">
        <v>0</v>
      </c>
      <c r="U50">
        <v>0</v>
      </c>
      <c r="V50">
        <v>0</v>
      </c>
      <c r="W50">
        <v>1</v>
      </c>
      <c r="X50">
        <v>0</v>
      </c>
      <c r="Y50">
        <v>0</v>
      </c>
      <c r="Z50">
        <v>9971.8324777321595</v>
      </c>
      <c r="AA50">
        <v>2077.9706057910198</v>
      </c>
      <c r="AB50">
        <v>14341.0226363194</v>
      </c>
      <c r="AC50">
        <v>3066.9104279446801</v>
      </c>
      <c r="AD50">
        <v>7413.4938057411</v>
      </c>
      <c r="AE50">
        <v>1730.94690677054</v>
      </c>
      <c r="AF50">
        <v>31726.348919792701</v>
      </c>
      <c r="AG50">
        <v>6875.8279405062603</v>
      </c>
      <c r="AH50">
        <v>0</v>
      </c>
      <c r="AI50">
        <v>2</v>
      </c>
      <c r="AJ50">
        <v>0</v>
      </c>
      <c r="AK50">
        <v>2</v>
      </c>
      <c r="AL50">
        <v>9.9</v>
      </c>
      <c r="AM50">
        <v>0</v>
      </c>
      <c r="AN50" t="s">
        <v>134</v>
      </c>
      <c r="AO50" t="b">
        <v>0</v>
      </c>
      <c r="AP50" t="s">
        <v>134</v>
      </c>
      <c r="AQ50">
        <v>0</v>
      </c>
      <c r="AR50">
        <v>1</v>
      </c>
      <c r="AS50">
        <v>1</v>
      </c>
      <c r="AT50">
        <v>1</v>
      </c>
      <c r="AU50">
        <v>4.2688498506888601</v>
      </c>
      <c r="AV50">
        <v>1.53693743349487</v>
      </c>
      <c r="AW50">
        <v>3.9314206118313701</v>
      </c>
      <c r="AX50">
        <v>49</v>
      </c>
      <c r="AY50">
        <v>11</v>
      </c>
      <c r="AZ50">
        <v>2</v>
      </c>
      <c r="BA50">
        <v>0</v>
      </c>
      <c r="BB50">
        <v>0</v>
      </c>
      <c r="BC50">
        <v>2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2</v>
      </c>
      <c r="BJ50">
        <v>2</v>
      </c>
      <c r="BK50">
        <v>3.9314206118313701</v>
      </c>
      <c r="BL50">
        <v>49</v>
      </c>
      <c r="BM50">
        <v>11</v>
      </c>
      <c r="BN50">
        <v>3.6320916830712702</v>
      </c>
      <c r="BO50">
        <v>11845.932136363501</v>
      </c>
      <c r="BP50" t="s">
        <v>369</v>
      </c>
      <c r="BQ50" t="s">
        <v>809</v>
      </c>
      <c r="BR50" cm="1">
        <f t="array" ref="BR50">IF($AP50="ארצי",SUMPRODUCT(($AP$2:$AP$143="ארצי")*($BK$2:$BK$143&gt;$BK50))+1,SUMPRODUCT(($AP$2:$AP$143=$AP50)*($L$2:$L$143=$L50)*($BK$2:$BK$143&gt;$BK50))+1)</f>
        <v>11</v>
      </c>
    </row>
    <row r="51" spans="1:70" x14ac:dyDescent="0.25">
      <c r="A51">
        <v>58</v>
      </c>
      <c r="B51">
        <v>34.954210238784597</v>
      </c>
      <c r="C51">
        <v>32.485508350199403</v>
      </c>
      <c r="D51" t="s">
        <v>370</v>
      </c>
      <c r="E51" t="s">
        <v>371</v>
      </c>
      <c r="F51" t="s">
        <v>372</v>
      </c>
      <c r="G51" t="s">
        <v>373</v>
      </c>
      <c r="H51" t="s">
        <v>374</v>
      </c>
      <c r="I51" t="s">
        <v>375</v>
      </c>
      <c r="J51" t="s">
        <v>74</v>
      </c>
      <c r="K51" t="s">
        <v>86</v>
      </c>
      <c r="L51" t="s">
        <v>86</v>
      </c>
      <c r="M51" t="s">
        <v>376</v>
      </c>
      <c r="N51" t="s">
        <v>277</v>
      </c>
      <c r="O51">
        <v>42573.259075100003</v>
      </c>
      <c r="P51">
        <v>13596.407223099999</v>
      </c>
      <c r="Q51">
        <v>0.31936496097504902</v>
      </c>
      <c r="R51">
        <v>2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4</v>
      </c>
      <c r="Z51">
        <v>941.78097348466702</v>
      </c>
      <c r="AA51">
        <v>595.13169749436202</v>
      </c>
      <c r="AB51">
        <v>1693.9517665179501</v>
      </c>
      <c r="AC51">
        <v>1055.0645474149101</v>
      </c>
      <c r="AD51">
        <v>1193.0608467733</v>
      </c>
      <c r="AE51">
        <v>721.47697069673404</v>
      </c>
      <c r="AF51">
        <v>3828.7935867759202</v>
      </c>
      <c r="AG51">
        <v>2371.6732156060102</v>
      </c>
      <c r="AH51">
        <v>1</v>
      </c>
      <c r="AI51">
        <v>1</v>
      </c>
      <c r="AJ51">
        <v>1</v>
      </c>
      <c r="AK51">
        <v>2</v>
      </c>
      <c r="AL51">
        <v>35.200000000000003</v>
      </c>
      <c r="AM51">
        <v>2</v>
      </c>
      <c r="AN51" t="s">
        <v>103</v>
      </c>
      <c r="AO51" t="b">
        <v>0</v>
      </c>
      <c r="AP51" t="s">
        <v>103</v>
      </c>
      <c r="AQ51">
        <v>2</v>
      </c>
      <c r="AR51">
        <v>4</v>
      </c>
      <c r="AS51">
        <v>1.7805965032567701</v>
      </c>
      <c r="AT51">
        <v>7</v>
      </c>
      <c r="AU51">
        <v>5.6644705904275101</v>
      </c>
      <c r="AV51">
        <v>1.0952036838917201</v>
      </c>
      <c r="AW51">
        <v>3.92090945569272</v>
      </c>
      <c r="AX51">
        <v>50</v>
      </c>
      <c r="AY51">
        <v>20</v>
      </c>
      <c r="AZ51">
        <v>6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6</v>
      </c>
      <c r="BK51">
        <v>3.92090945569272</v>
      </c>
      <c r="BL51">
        <v>50</v>
      </c>
      <c r="BM51">
        <v>20</v>
      </c>
      <c r="BN51">
        <v>4.6291368976320202</v>
      </c>
      <c r="BO51">
        <v>2663.09728983999</v>
      </c>
      <c r="BP51" t="s">
        <v>377</v>
      </c>
      <c r="BQ51" t="s">
        <v>839</v>
      </c>
      <c r="BR51" cm="1">
        <f t="array" ref="BR51">IF($AP51="ארצי",SUMPRODUCT(($AP$2:$AP$143="ארצי")*($BK$2:$BK$143&gt;$BK51))+1,SUMPRODUCT(($AP$2:$AP$143=$AP51)*($L$2:$L$143=$L51)*($BK$2:$BK$143&gt;$BK51))+1)</f>
        <v>5</v>
      </c>
    </row>
    <row r="52" spans="1:70" x14ac:dyDescent="0.25">
      <c r="A52">
        <v>521</v>
      </c>
      <c r="B52">
        <v>35.173553262883303</v>
      </c>
      <c r="C52">
        <v>32.911343743594998</v>
      </c>
      <c r="D52" t="s">
        <v>378</v>
      </c>
      <c r="E52" t="s">
        <v>379</v>
      </c>
      <c r="F52" t="s">
        <v>98</v>
      </c>
      <c r="G52" t="s">
        <v>99</v>
      </c>
      <c r="H52" t="s">
        <v>380</v>
      </c>
      <c r="I52" t="s">
        <v>381</v>
      </c>
      <c r="J52" t="s">
        <v>74</v>
      </c>
      <c r="K52" t="s">
        <v>86</v>
      </c>
      <c r="L52" t="s">
        <v>86</v>
      </c>
      <c r="M52" t="s">
        <v>132</v>
      </c>
      <c r="N52" t="s">
        <v>133</v>
      </c>
      <c r="O52">
        <v>6941.0578968</v>
      </c>
      <c r="P52">
        <v>6194.7123875999996</v>
      </c>
      <c r="Q52">
        <v>0.89247381014584404</v>
      </c>
      <c r="R52">
        <v>0</v>
      </c>
      <c r="S52">
        <v>0</v>
      </c>
      <c r="T52">
        <v>0</v>
      </c>
      <c r="U52">
        <v>0</v>
      </c>
      <c r="V52">
        <v>3</v>
      </c>
      <c r="W52">
        <v>1</v>
      </c>
      <c r="X52">
        <v>0</v>
      </c>
      <c r="Y52">
        <v>3</v>
      </c>
      <c r="Z52">
        <v>563.54461398025501</v>
      </c>
      <c r="AA52">
        <v>172.05463460817001</v>
      </c>
      <c r="AB52">
        <v>945.78556590450899</v>
      </c>
      <c r="AC52">
        <v>369.41547757580099</v>
      </c>
      <c r="AD52">
        <v>678.23746628843901</v>
      </c>
      <c r="AE52">
        <v>375.23246810846098</v>
      </c>
      <c r="AF52">
        <v>2187.5676461732</v>
      </c>
      <c r="AG52">
        <v>916.702580292432</v>
      </c>
      <c r="AH52">
        <v>1</v>
      </c>
      <c r="AI52">
        <v>2</v>
      </c>
      <c r="AJ52">
        <v>2</v>
      </c>
      <c r="AK52">
        <v>3</v>
      </c>
      <c r="AL52">
        <v>52.8</v>
      </c>
      <c r="AM52">
        <v>2</v>
      </c>
      <c r="AN52" t="s">
        <v>103</v>
      </c>
      <c r="AO52" t="b">
        <v>0</v>
      </c>
      <c r="AP52" t="s">
        <v>103</v>
      </c>
      <c r="AQ52">
        <v>2</v>
      </c>
      <c r="AR52">
        <v>7</v>
      </c>
      <c r="AS52">
        <v>2.3236201576962601</v>
      </c>
      <c r="AT52">
        <v>7</v>
      </c>
      <c r="AU52">
        <v>1.6658162905870399</v>
      </c>
      <c r="AV52">
        <v>1.0234214188075501</v>
      </c>
      <c r="AW52">
        <v>3.8821310535364599</v>
      </c>
      <c r="AX52">
        <v>51</v>
      </c>
      <c r="AY52">
        <v>21</v>
      </c>
      <c r="AZ52">
        <v>7</v>
      </c>
      <c r="BA52">
        <v>1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1</v>
      </c>
      <c r="BJ52">
        <v>7</v>
      </c>
      <c r="BK52">
        <v>3.8821310535364599</v>
      </c>
      <c r="BL52">
        <v>51</v>
      </c>
      <c r="BM52">
        <v>21</v>
      </c>
      <c r="BN52">
        <v>3.8414256669575901</v>
      </c>
      <c r="BO52">
        <v>1170.8755934685801</v>
      </c>
      <c r="BP52" t="s">
        <v>382</v>
      </c>
      <c r="BQ52" t="s">
        <v>840</v>
      </c>
      <c r="BR52" cm="1">
        <f t="array" ref="BR52">IF($AP52="ארצי",SUMPRODUCT(($AP$2:$AP$143="ארצי")*($BK$2:$BK$143&gt;$BK52))+1,SUMPRODUCT(($AP$2:$AP$143=$AP52)*($L$2:$L$143=$L52)*($BK$2:$BK$143&gt;$BK52))+1)</f>
        <v>6</v>
      </c>
    </row>
    <row r="53" spans="1:70" x14ac:dyDescent="0.25">
      <c r="A53">
        <v>356</v>
      </c>
      <c r="B53">
        <v>34.802489708881701</v>
      </c>
      <c r="C53">
        <v>31.949217928565599</v>
      </c>
      <c r="D53" t="s">
        <v>383</v>
      </c>
      <c r="E53" t="s">
        <v>384</v>
      </c>
      <c r="F53" t="s">
        <v>385</v>
      </c>
      <c r="G53" t="s">
        <v>386</v>
      </c>
      <c r="H53" t="s">
        <v>387</v>
      </c>
      <c r="I53" t="s">
        <v>388</v>
      </c>
      <c r="J53" t="s">
        <v>74</v>
      </c>
      <c r="K53" t="s">
        <v>94</v>
      </c>
      <c r="L53" t="s">
        <v>94</v>
      </c>
      <c r="M53" t="s">
        <v>219</v>
      </c>
      <c r="N53" t="s">
        <v>133</v>
      </c>
      <c r="O53">
        <v>46593.69</v>
      </c>
      <c r="P53">
        <v>28823.58</v>
      </c>
      <c r="Q53">
        <v>0.61861552497773797</v>
      </c>
      <c r="R53">
        <v>6</v>
      </c>
      <c r="S53">
        <v>0</v>
      </c>
      <c r="T53">
        <v>0</v>
      </c>
      <c r="U53">
        <v>0</v>
      </c>
      <c r="V53">
        <v>0</v>
      </c>
      <c r="W53">
        <v>0</v>
      </c>
      <c r="X53">
        <v>4</v>
      </c>
      <c r="Y53">
        <v>2</v>
      </c>
      <c r="Z53">
        <v>9160.1765806638996</v>
      </c>
      <c r="AA53">
        <v>2172.4875522668899</v>
      </c>
      <c r="AB53">
        <v>17722.7176525994</v>
      </c>
      <c r="AC53">
        <v>3705.3354759036902</v>
      </c>
      <c r="AD53">
        <v>11966.499007065</v>
      </c>
      <c r="AE53">
        <v>2700.97717641604</v>
      </c>
      <c r="AF53">
        <v>38849.393240328303</v>
      </c>
      <c r="AG53">
        <v>8578.8002045866306</v>
      </c>
      <c r="AH53">
        <v>0</v>
      </c>
      <c r="AI53">
        <v>2</v>
      </c>
      <c r="AJ53">
        <v>0</v>
      </c>
      <c r="AK53">
        <v>3</v>
      </c>
      <c r="AL53">
        <v>72</v>
      </c>
      <c r="AM53">
        <v>2</v>
      </c>
      <c r="AN53" t="s">
        <v>103</v>
      </c>
      <c r="AO53" t="b">
        <v>0</v>
      </c>
      <c r="AP53" t="s">
        <v>103</v>
      </c>
      <c r="AQ53">
        <v>2</v>
      </c>
      <c r="AR53">
        <v>1</v>
      </c>
      <c r="AS53">
        <v>2.9160095989029799</v>
      </c>
      <c r="AT53">
        <v>7</v>
      </c>
      <c r="AU53">
        <v>5.8634116345831604</v>
      </c>
      <c r="AV53">
        <v>1.6710034484871701</v>
      </c>
      <c r="AW53">
        <v>3.84391427312754</v>
      </c>
      <c r="AX53">
        <v>52</v>
      </c>
      <c r="AY53">
        <v>22</v>
      </c>
      <c r="AZ53">
        <v>12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6</v>
      </c>
      <c r="BG53">
        <v>0</v>
      </c>
      <c r="BH53">
        <v>0</v>
      </c>
      <c r="BI53">
        <v>6</v>
      </c>
      <c r="BJ53">
        <v>12</v>
      </c>
      <c r="BK53">
        <v>3.84391427312754</v>
      </c>
      <c r="BL53">
        <v>52</v>
      </c>
      <c r="BM53">
        <v>22</v>
      </c>
      <c r="BN53">
        <v>4.6683271058802696</v>
      </c>
      <c r="BO53">
        <v>14632.9188117349</v>
      </c>
      <c r="BP53" t="s">
        <v>389</v>
      </c>
      <c r="BQ53" t="s">
        <v>841</v>
      </c>
      <c r="BR53" cm="1">
        <f t="array" ref="BR53">IF($AP53="ארצי",SUMPRODUCT(($AP$2:$AP$143="ארצי")*($BK$2:$BK$143&gt;$BK53))+1,SUMPRODUCT(($AP$2:$AP$143=$AP53)*($L$2:$L$143=$L53)*($BK$2:$BK$143&gt;$BK53))+1)</f>
        <v>12</v>
      </c>
    </row>
    <row r="54" spans="1:70" x14ac:dyDescent="0.25">
      <c r="A54">
        <v>195</v>
      </c>
      <c r="B54">
        <v>35.2949265754716</v>
      </c>
      <c r="C54">
        <v>32.621800460112603</v>
      </c>
      <c r="D54" t="s">
        <v>390</v>
      </c>
      <c r="E54" t="s">
        <v>391</v>
      </c>
      <c r="F54" t="s">
        <v>372</v>
      </c>
      <c r="G54" t="s">
        <v>373</v>
      </c>
      <c r="H54" t="s">
        <v>392</v>
      </c>
      <c r="I54" t="s">
        <v>393</v>
      </c>
      <c r="J54" t="s">
        <v>74</v>
      </c>
      <c r="K54" t="s">
        <v>394</v>
      </c>
      <c r="L54" t="s">
        <v>394</v>
      </c>
      <c r="M54" t="s">
        <v>395</v>
      </c>
      <c r="N54" t="s">
        <v>277</v>
      </c>
      <c r="O54">
        <v>9554.7795342000009</v>
      </c>
      <c r="P54">
        <v>7265.6722448999999</v>
      </c>
      <c r="Q54">
        <v>0.76042280398972395</v>
      </c>
      <c r="R54">
        <v>2.5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2.5</v>
      </c>
      <c r="Z54">
        <v>3575.01552075056</v>
      </c>
      <c r="AA54">
        <v>2332.9950427614699</v>
      </c>
      <c r="AB54">
        <v>4957.2755343717799</v>
      </c>
      <c r="AC54">
        <v>3206.3721828043999</v>
      </c>
      <c r="AD54">
        <v>3307.9339553014302</v>
      </c>
      <c r="AE54">
        <v>2136.9428685944899</v>
      </c>
      <c r="AF54">
        <v>11840.225010423699</v>
      </c>
      <c r="AG54">
        <v>7676.3100941603698</v>
      </c>
      <c r="AH54">
        <v>1</v>
      </c>
      <c r="AI54">
        <v>1</v>
      </c>
      <c r="AJ54">
        <v>1</v>
      </c>
      <c r="AK54">
        <v>2</v>
      </c>
      <c r="AL54">
        <v>27.5</v>
      </c>
      <c r="AM54">
        <v>3</v>
      </c>
      <c r="AN54" t="s">
        <v>103</v>
      </c>
      <c r="AO54" t="b">
        <v>0</v>
      </c>
      <c r="AP54" t="s">
        <v>103</v>
      </c>
      <c r="AQ54">
        <v>3</v>
      </c>
      <c r="AR54">
        <v>4</v>
      </c>
      <c r="AS54">
        <v>1.54302365443949</v>
      </c>
      <c r="AT54">
        <v>10</v>
      </c>
      <c r="AU54">
        <v>2.37038062418676</v>
      </c>
      <c r="AV54">
        <v>1.37642116003815</v>
      </c>
      <c r="AW54">
        <v>3.84235613800531</v>
      </c>
      <c r="AX54">
        <v>53</v>
      </c>
      <c r="AY54">
        <v>23</v>
      </c>
      <c r="AZ54">
        <v>5</v>
      </c>
      <c r="BA54">
        <v>1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1</v>
      </c>
      <c r="BJ54">
        <v>5</v>
      </c>
      <c r="BK54">
        <v>3.84235613800531</v>
      </c>
      <c r="BL54">
        <v>53</v>
      </c>
      <c r="BM54">
        <v>23</v>
      </c>
      <c r="BN54">
        <v>3.9802206706495298</v>
      </c>
      <c r="BO54">
        <v>8509.0930774130502</v>
      </c>
      <c r="BP54" t="s">
        <v>396</v>
      </c>
      <c r="BQ54" t="s">
        <v>842</v>
      </c>
      <c r="BR54" cm="1">
        <f t="array" ref="BR54">IF($AP54="ארצי",SUMPRODUCT(($AP$2:$AP$143="ארצי")*($BK$2:$BK$143&gt;$BK54))+1,SUMPRODUCT(($AP$2:$AP$143=$AP54)*($L$2:$L$143=$L54)*($BK$2:$BK$143&gt;$BK54))+1)</f>
        <v>1</v>
      </c>
    </row>
    <row r="55" spans="1:70" x14ac:dyDescent="0.25">
      <c r="A55">
        <v>163</v>
      </c>
      <c r="B55">
        <v>34.818183375120498</v>
      </c>
      <c r="C55">
        <v>32.164229113169498</v>
      </c>
      <c r="D55" t="s">
        <v>397</v>
      </c>
      <c r="E55" t="s">
        <v>398</v>
      </c>
      <c r="F55" t="s">
        <v>166</v>
      </c>
      <c r="G55" t="s">
        <v>167</v>
      </c>
      <c r="H55" t="s">
        <v>399</v>
      </c>
      <c r="I55" t="s">
        <v>400</v>
      </c>
      <c r="J55" t="s">
        <v>74</v>
      </c>
      <c r="K55" t="s">
        <v>94</v>
      </c>
      <c r="L55" t="s">
        <v>94</v>
      </c>
      <c r="M55" t="s">
        <v>142</v>
      </c>
      <c r="N55" t="s">
        <v>133</v>
      </c>
      <c r="O55">
        <v>61074.05</v>
      </c>
      <c r="P55">
        <v>55686.109999999899</v>
      </c>
      <c r="Q55">
        <v>0.91178020779692803</v>
      </c>
      <c r="R55">
        <v>2</v>
      </c>
      <c r="S55">
        <v>0</v>
      </c>
      <c r="T55">
        <v>0</v>
      </c>
      <c r="U55">
        <v>0</v>
      </c>
      <c r="V55">
        <v>11</v>
      </c>
      <c r="W55">
        <v>8</v>
      </c>
      <c r="X55">
        <v>0</v>
      </c>
      <c r="Y55">
        <v>11</v>
      </c>
      <c r="Z55">
        <v>4061.39449975874</v>
      </c>
      <c r="AA55">
        <v>4373.0203488152902</v>
      </c>
      <c r="AB55">
        <v>9203.5295225427199</v>
      </c>
      <c r="AC55">
        <v>11847.6439025645</v>
      </c>
      <c r="AD55">
        <v>7368.90728253817</v>
      </c>
      <c r="AE55">
        <v>7598.7863682527004</v>
      </c>
      <c r="AF55">
        <v>20633.831304839601</v>
      </c>
      <c r="AG55">
        <v>23819.450619632498</v>
      </c>
      <c r="AH55">
        <v>0</v>
      </c>
      <c r="AI55">
        <v>2</v>
      </c>
      <c r="AJ55">
        <v>0</v>
      </c>
      <c r="AK55">
        <v>4</v>
      </c>
      <c r="AL55">
        <v>248.3</v>
      </c>
      <c r="AM55">
        <v>2</v>
      </c>
      <c r="AN55" t="s">
        <v>78</v>
      </c>
      <c r="AO55" t="b">
        <v>0</v>
      </c>
      <c r="AP55" t="s">
        <v>78</v>
      </c>
      <c r="AQ55">
        <v>2</v>
      </c>
      <c r="AR55">
        <v>1</v>
      </c>
      <c r="AS55">
        <v>8.3555022283167606</v>
      </c>
      <c r="AT55">
        <v>7</v>
      </c>
      <c r="AU55">
        <v>1.1775229491127801</v>
      </c>
      <c r="AV55">
        <v>2.0822666467831299</v>
      </c>
      <c r="AW55">
        <v>3.77179319610778</v>
      </c>
      <c r="AX55">
        <v>54</v>
      </c>
      <c r="AY55">
        <v>11</v>
      </c>
      <c r="AZ55">
        <v>32</v>
      </c>
      <c r="BA55">
        <v>2</v>
      </c>
      <c r="BB55">
        <v>0</v>
      </c>
      <c r="BC55">
        <v>4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6</v>
      </c>
      <c r="BJ55">
        <v>32</v>
      </c>
      <c r="BK55">
        <v>3.77179319610778</v>
      </c>
      <c r="BL55">
        <v>54</v>
      </c>
      <c r="BM55">
        <v>11</v>
      </c>
      <c r="BN55">
        <v>4.7858567202960396</v>
      </c>
      <c r="BO55">
        <v>23182.326756673901</v>
      </c>
      <c r="BP55" t="s">
        <v>401</v>
      </c>
      <c r="BQ55" t="s">
        <v>843</v>
      </c>
      <c r="BR55" cm="1">
        <f t="array" ref="BR55">IF($AP55="ארצי",SUMPRODUCT(($AP$2:$AP$143="ארצי")*($BK$2:$BK$143&gt;$BK55))+1,SUMPRODUCT(($AP$2:$AP$143=$AP55)*($L$2:$L$143=$L55)*($BK$2:$BK$143&gt;$BK55))+1)</f>
        <v>11</v>
      </c>
    </row>
    <row r="56" spans="1:70" x14ac:dyDescent="0.25">
      <c r="A56">
        <v>10</v>
      </c>
      <c r="B56">
        <v>34.938099444583301</v>
      </c>
      <c r="C56">
        <v>32.320532298844697</v>
      </c>
      <c r="D56" t="s">
        <v>402</v>
      </c>
      <c r="E56" t="s">
        <v>403</v>
      </c>
      <c r="F56" t="s">
        <v>128</v>
      </c>
      <c r="G56" t="s">
        <v>129</v>
      </c>
      <c r="H56" t="s">
        <v>154</v>
      </c>
      <c r="I56" t="s">
        <v>155</v>
      </c>
      <c r="J56" t="s">
        <v>74</v>
      </c>
      <c r="K56" t="s">
        <v>94</v>
      </c>
      <c r="L56" t="s">
        <v>94</v>
      </c>
      <c r="M56" t="s">
        <v>132</v>
      </c>
      <c r="N56" t="s">
        <v>133</v>
      </c>
      <c r="O56">
        <v>9170.82</v>
      </c>
      <c r="P56">
        <v>4.7199999999999998E-4</v>
      </c>
      <c r="Q56" s="1">
        <v>5.1467589593951202E-8</v>
      </c>
      <c r="R56">
        <v>1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4528.3521898871904</v>
      </c>
      <c r="AA56">
        <v>2030.1434543983601</v>
      </c>
      <c r="AB56">
        <v>6870.3072462976997</v>
      </c>
      <c r="AC56">
        <v>2978.1126138126901</v>
      </c>
      <c r="AD56">
        <v>4539.4543396498402</v>
      </c>
      <c r="AE56">
        <v>1963.26201142942</v>
      </c>
      <c r="AF56">
        <v>15938.113775834699</v>
      </c>
      <c r="AG56">
        <v>6971.5180796404802</v>
      </c>
      <c r="AH56">
        <v>0</v>
      </c>
      <c r="AI56">
        <v>2</v>
      </c>
      <c r="AJ56">
        <v>0</v>
      </c>
      <c r="AK56">
        <v>2</v>
      </c>
      <c r="AL56">
        <v>9.9</v>
      </c>
      <c r="AM56">
        <v>0</v>
      </c>
      <c r="AN56" t="s">
        <v>134</v>
      </c>
      <c r="AO56" t="b">
        <v>0</v>
      </c>
      <c r="AP56" t="s">
        <v>134</v>
      </c>
      <c r="AQ56">
        <v>0</v>
      </c>
      <c r="AR56">
        <v>1</v>
      </c>
      <c r="AS56">
        <v>1</v>
      </c>
      <c r="AT56">
        <v>1</v>
      </c>
      <c r="AU56">
        <v>6.2903962483377898</v>
      </c>
      <c r="AV56">
        <v>1.3887235503606401</v>
      </c>
      <c r="AW56">
        <v>3.5928649284601399</v>
      </c>
      <c r="AX56">
        <v>55</v>
      </c>
      <c r="AY56">
        <v>12</v>
      </c>
      <c r="AZ56">
        <v>2</v>
      </c>
      <c r="BA56">
        <v>0</v>
      </c>
      <c r="BB56">
        <v>0</v>
      </c>
      <c r="BC56">
        <v>2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2</v>
      </c>
      <c r="BJ56">
        <v>2</v>
      </c>
      <c r="BK56">
        <v>3.5928649284601399</v>
      </c>
      <c r="BL56">
        <v>55</v>
      </c>
      <c r="BM56">
        <v>12</v>
      </c>
      <c r="BN56">
        <v>3.9624081694272202</v>
      </c>
      <c r="BO56">
        <v>8764.8372188793292</v>
      </c>
      <c r="BP56" t="s">
        <v>404</v>
      </c>
      <c r="BQ56" t="s">
        <v>809</v>
      </c>
      <c r="BR56" cm="1">
        <f t="array" ref="BR56">IF($AP56="ארצי",SUMPRODUCT(($AP$2:$AP$143="ארצי")*($BK$2:$BK$143&gt;$BK56))+1,SUMPRODUCT(($AP$2:$AP$143=$AP56)*($L$2:$L$143=$L56)*($BK$2:$BK$143&gt;$BK56))+1)</f>
        <v>12</v>
      </c>
    </row>
    <row r="57" spans="1:70" x14ac:dyDescent="0.25">
      <c r="A57">
        <v>650</v>
      </c>
      <c r="B57">
        <v>34.763098205637597</v>
      </c>
      <c r="C57">
        <v>32.014320281479698</v>
      </c>
      <c r="D57" t="s">
        <v>405</v>
      </c>
      <c r="E57" t="s">
        <v>406</v>
      </c>
      <c r="F57" t="s">
        <v>362</v>
      </c>
      <c r="G57" t="s">
        <v>363</v>
      </c>
      <c r="H57" t="s">
        <v>407</v>
      </c>
      <c r="I57" t="s">
        <v>408</v>
      </c>
      <c r="J57" t="s">
        <v>74</v>
      </c>
      <c r="K57" t="s">
        <v>94</v>
      </c>
      <c r="L57" t="s">
        <v>94</v>
      </c>
      <c r="M57" t="s">
        <v>142</v>
      </c>
      <c r="N57" t="s">
        <v>133</v>
      </c>
      <c r="O57">
        <v>247939.7</v>
      </c>
      <c r="P57">
        <v>201506.96</v>
      </c>
      <c r="Q57">
        <v>0.81272567483142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6</v>
      </c>
      <c r="Y57">
        <v>4</v>
      </c>
      <c r="Z57">
        <v>28332.931379502301</v>
      </c>
      <c r="AA57">
        <v>6177.6849457439203</v>
      </c>
      <c r="AB57">
        <v>50595.6475492834</v>
      </c>
      <c r="AC57">
        <v>11545.081621989701</v>
      </c>
      <c r="AD57">
        <v>33084.921568972597</v>
      </c>
      <c r="AE57">
        <v>7736.6781800191702</v>
      </c>
      <c r="AF57">
        <v>112013.500497758</v>
      </c>
      <c r="AG57">
        <v>25459.444747752801</v>
      </c>
      <c r="AH57">
        <v>0</v>
      </c>
      <c r="AI57">
        <v>2</v>
      </c>
      <c r="AJ57">
        <v>0</v>
      </c>
      <c r="AK57">
        <v>2</v>
      </c>
      <c r="AL57">
        <v>66</v>
      </c>
      <c r="AM57">
        <v>0</v>
      </c>
      <c r="AN57" t="s">
        <v>103</v>
      </c>
      <c r="AO57" t="b">
        <v>0</v>
      </c>
      <c r="AP57" t="s">
        <v>103</v>
      </c>
      <c r="AQ57">
        <v>0</v>
      </c>
      <c r="AR57">
        <v>1</v>
      </c>
      <c r="AS57">
        <v>2.73088789852588</v>
      </c>
      <c r="AT57">
        <v>1</v>
      </c>
      <c r="AU57">
        <v>9.5488978192781797</v>
      </c>
      <c r="AV57">
        <v>3.02453006881623</v>
      </c>
      <c r="AW57">
        <v>3.5766085959483398</v>
      </c>
      <c r="AX57">
        <v>56</v>
      </c>
      <c r="AY57">
        <v>24</v>
      </c>
      <c r="AZ57">
        <v>10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6</v>
      </c>
      <c r="BG57">
        <v>0</v>
      </c>
      <c r="BH57">
        <v>0</v>
      </c>
      <c r="BI57">
        <v>6</v>
      </c>
      <c r="BJ57">
        <v>10</v>
      </c>
      <c r="BK57">
        <v>3.5766085959483398</v>
      </c>
      <c r="BL57">
        <v>56</v>
      </c>
      <c r="BM57">
        <v>24</v>
      </c>
      <c r="BN57">
        <v>5.3943460713846303</v>
      </c>
      <c r="BO57">
        <v>42770.255897753901</v>
      </c>
      <c r="BP57" t="s">
        <v>409</v>
      </c>
      <c r="BQ57" t="s">
        <v>844</v>
      </c>
      <c r="BR57" cm="1">
        <f t="array" ref="BR57">IF($AP57="ארצי",SUMPRODUCT(($AP$2:$AP$143="ארצי")*($BK$2:$BK$143&gt;$BK57))+1,SUMPRODUCT(($AP$2:$AP$143=$AP57)*($L$2:$L$143=$L57)*($BK$2:$BK$143&gt;$BK57))+1)</f>
        <v>13</v>
      </c>
    </row>
    <row r="58" spans="1:70" x14ac:dyDescent="0.25">
      <c r="A58">
        <v>68</v>
      </c>
      <c r="B58">
        <v>34.899104434525498</v>
      </c>
      <c r="C58">
        <v>32.438206619943301</v>
      </c>
      <c r="D58" t="s">
        <v>410</v>
      </c>
      <c r="E58" t="s">
        <v>411</v>
      </c>
      <c r="F58" t="s">
        <v>412</v>
      </c>
      <c r="G58" t="s">
        <v>413</v>
      </c>
      <c r="H58" t="s">
        <v>414</v>
      </c>
      <c r="I58" t="s">
        <v>415</v>
      </c>
      <c r="J58" t="s">
        <v>74</v>
      </c>
      <c r="K58" t="s">
        <v>86</v>
      </c>
      <c r="L58" t="s">
        <v>86</v>
      </c>
      <c r="M58" t="s">
        <v>376</v>
      </c>
      <c r="N58" t="s">
        <v>277</v>
      </c>
      <c r="O58">
        <v>175365.358771</v>
      </c>
      <c r="P58">
        <v>15853.479551</v>
      </c>
      <c r="Q58">
        <v>9.0402572447060001E-2</v>
      </c>
      <c r="R58">
        <v>2</v>
      </c>
      <c r="S58">
        <v>0</v>
      </c>
      <c r="T58">
        <v>0</v>
      </c>
      <c r="U58">
        <v>0</v>
      </c>
      <c r="V58">
        <v>3</v>
      </c>
      <c r="W58">
        <v>0</v>
      </c>
      <c r="X58">
        <v>0</v>
      </c>
      <c r="Y58">
        <v>3</v>
      </c>
      <c r="Z58">
        <v>3782.6608012646102</v>
      </c>
      <c r="AA58">
        <v>989.82785969550696</v>
      </c>
      <c r="AB58">
        <v>7007.65398523159</v>
      </c>
      <c r="AC58">
        <v>2235.5267646449101</v>
      </c>
      <c r="AD58">
        <v>5541.9529823776402</v>
      </c>
      <c r="AE58">
        <v>2885.5780586422502</v>
      </c>
      <c r="AF58">
        <v>16332.2677688738</v>
      </c>
      <c r="AG58">
        <v>6110.9326829826696</v>
      </c>
      <c r="AH58">
        <v>1</v>
      </c>
      <c r="AI58">
        <v>1</v>
      </c>
      <c r="AJ58">
        <v>1</v>
      </c>
      <c r="AK58">
        <v>3</v>
      </c>
      <c r="AL58">
        <v>56.4</v>
      </c>
      <c r="AM58">
        <v>2</v>
      </c>
      <c r="AN58" t="s">
        <v>78</v>
      </c>
      <c r="AO58" t="b">
        <v>0</v>
      </c>
      <c r="AP58" t="s">
        <v>78</v>
      </c>
      <c r="AQ58">
        <v>2</v>
      </c>
      <c r="AR58">
        <v>4</v>
      </c>
      <c r="AS58">
        <v>2.43469317792252</v>
      </c>
      <c r="AT58">
        <v>7</v>
      </c>
      <c r="AU58">
        <v>4.8185149098018796</v>
      </c>
      <c r="AV58">
        <v>1.3593973704235001</v>
      </c>
      <c r="AW58">
        <v>3.5524677173660799</v>
      </c>
      <c r="AX58">
        <v>57</v>
      </c>
      <c r="AY58">
        <v>12</v>
      </c>
      <c r="AZ58">
        <v>8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8</v>
      </c>
      <c r="BK58">
        <v>3.5524677173660799</v>
      </c>
      <c r="BL58">
        <v>57</v>
      </c>
      <c r="BM58">
        <v>12</v>
      </c>
      <c r="BN58">
        <v>5.2439438080697602</v>
      </c>
      <c r="BO58">
        <v>8155.1997001609097</v>
      </c>
      <c r="BP58" t="s">
        <v>416</v>
      </c>
      <c r="BQ58" t="s">
        <v>845</v>
      </c>
      <c r="BR58" cm="1">
        <f t="array" ref="BR58">IF($AP58="ארצי",SUMPRODUCT(($AP$2:$AP$143="ארצי")*($BK$2:$BK$143&gt;$BK58))+1,SUMPRODUCT(($AP$2:$AP$143=$AP58)*($L$2:$L$143=$L58)*($BK$2:$BK$143&gt;$BK58))+1)</f>
        <v>12</v>
      </c>
    </row>
    <row r="59" spans="1:70" x14ac:dyDescent="0.25">
      <c r="A59">
        <v>351</v>
      </c>
      <c r="B59">
        <v>34.792845120472698</v>
      </c>
      <c r="C59">
        <v>31.964745203001101</v>
      </c>
      <c r="D59" t="s">
        <v>417</v>
      </c>
      <c r="E59" t="s">
        <v>418</v>
      </c>
      <c r="F59" t="s">
        <v>294</v>
      </c>
      <c r="G59" t="s">
        <v>295</v>
      </c>
      <c r="H59" t="s">
        <v>419</v>
      </c>
      <c r="I59" t="s">
        <v>420</v>
      </c>
      <c r="J59" t="s">
        <v>74</v>
      </c>
      <c r="K59" t="s">
        <v>94</v>
      </c>
      <c r="L59" t="s">
        <v>94</v>
      </c>
      <c r="M59" t="s">
        <v>219</v>
      </c>
      <c r="N59" t="s">
        <v>133</v>
      </c>
      <c r="O59">
        <v>17317.9692</v>
      </c>
      <c r="P59">
        <v>1834.9092230000001</v>
      </c>
      <c r="Q59">
        <v>0.105954064348376</v>
      </c>
      <c r="R59">
        <v>6</v>
      </c>
      <c r="S59">
        <v>0</v>
      </c>
      <c r="T59">
        <v>0</v>
      </c>
      <c r="U59">
        <v>0</v>
      </c>
      <c r="V59">
        <v>0</v>
      </c>
      <c r="W59">
        <v>8</v>
      </c>
      <c r="X59">
        <v>0</v>
      </c>
      <c r="Y59">
        <v>0</v>
      </c>
      <c r="Z59">
        <v>18299.154424308799</v>
      </c>
      <c r="AA59">
        <v>4448.5009940528998</v>
      </c>
      <c r="AB59">
        <v>25582.102422545999</v>
      </c>
      <c r="AC59">
        <v>10114.630267655</v>
      </c>
      <c r="AD59">
        <v>17398.244617061799</v>
      </c>
      <c r="AE59">
        <v>7396.3635419431603</v>
      </c>
      <c r="AF59">
        <v>61279.501463916698</v>
      </c>
      <c r="AG59">
        <v>21959.494803651101</v>
      </c>
      <c r="AH59">
        <v>0</v>
      </c>
      <c r="AI59">
        <v>2</v>
      </c>
      <c r="AJ59">
        <v>0</v>
      </c>
      <c r="AK59">
        <v>2</v>
      </c>
      <c r="AL59">
        <v>70.400000000000006</v>
      </c>
      <c r="AM59">
        <v>0</v>
      </c>
      <c r="AN59" t="s">
        <v>143</v>
      </c>
      <c r="AO59" t="b">
        <v>0</v>
      </c>
      <c r="AP59" t="s">
        <v>143</v>
      </c>
      <c r="AQ59">
        <v>0</v>
      </c>
      <c r="AR59">
        <v>1</v>
      </c>
      <c r="AS59">
        <v>2.86664381213575</v>
      </c>
      <c r="AT59">
        <v>1</v>
      </c>
      <c r="AU59">
        <v>6.5972393031875303</v>
      </c>
      <c r="AV59">
        <v>3.53661198355901</v>
      </c>
      <c r="AW59">
        <v>3.5237790876948498</v>
      </c>
      <c r="AX59">
        <v>58</v>
      </c>
      <c r="AY59">
        <v>10</v>
      </c>
      <c r="AZ59">
        <v>14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6</v>
      </c>
      <c r="BG59">
        <v>0</v>
      </c>
      <c r="BH59">
        <v>0</v>
      </c>
      <c r="BI59">
        <v>6</v>
      </c>
      <c r="BJ59">
        <v>14</v>
      </c>
      <c r="BK59">
        <v>3.5237790876948498</v>
      </c>
      <c r="BL59">
        <v>58</v>
      </c>
      <c r="BM59">
        <v>10</v>
      </c>
      <c r="BN59">
        <v>4.2384969629155096</v>
      </c>
      <c r="BO59">
        <v>53415.500131863497</v>
      </c>
      <c r="BP59" t="s">
        <v>421</v>
      </c>
      <c r="BQ59" t="s">
        <v>846</v>
      </c>
      <c r="BR59" cm="1">
        <f t="array" ref="BR59">IF($AP59="ארצי",SUMPRODUCT(($AP$2:$AP$143="ארצי")*($BK$2:$BK$143&gt;$BK59))+1,SUMPRODUCT(($AP$2:$AP$143=$AP59)*($L$2:$L$143=$L59)*($BK$2:$BK$143&gt;$BK59))+1)</f>
        <v>4</v>
      </c>
    </row>
    <row r="60" spans="1:70" x14ac:dyDescent="0.25">
      <c r="A60">
        <v>112</v>
      </c>
      <c r="B60">
        <v>34.948899020212302</v>
      </c>
      <c r="C60">
        <v>32.230239787635902</v>
      </c>
      <c r="D60" t="s">
        <v>422</v>
      </c>
      <c r="E60" t="s">
        <v>423</v>
      </c>
      <c r="F60" t="s">
        <v>128</v>
      </c>
      <c r="G60" t="s">
        <v>129</v>
      </c>
      <c r="H60" t="s">
        <v>154</v>
      </c>
      <c r="I60" t="s">
        <v>155</v>
      </c>
      <c r="J60" t="s">
        <v>74</v>
      </c>
      <c r="K60" t="s">
        <v>94</v>
      </c>
      <c r="L60" t="s">
        <v>94</v>
      </c>
      <c r="M60" t="s">
        <v>132</v>
      </c>
      <c r="N60" t="s">
        <v>133</v>
      </c>
      <c r="O60">
        <v>4421.8</v>
      </c>
      <c r="P60">
        <v>652.07999999999902</v>
      </c>
      <c r="Q60">
        <v>0.14746935637070799</v>
      </c>
      <c r="R60">
        <v>1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7550.4750436246804</v>
      </c>
      <c r="AA60">
        <v>1278.5617281654199</v>
      </c>
      <c r="AB60">
        <v>8454.2563220234097</v>
      </c>
      <c r="AC60">
        <v>1470.03820575758</v>
      </c>
      <c r="AD60">
        <v>4604.0271144837498</v>
      </c>
      <c r="AE60">
        <v>819.06525484839904</v>
      </c>
      <c r="AF60">
        <v>20608.758480131801</v>
      </c>
      <c r="AG60">
        <v>3567.6651887714002</v>
      </c>
      <c r="AH60">
        <v>0</v>
      </c>
      <c r="AI60">
        <v>2</v>
      </c>
      <c r="AJ60">
        <v>0</v>
      </c>
      <c r="AK60">
        <v>2</v>
      </c>
      <c r="AL60">
        <v>9.9</v>
      </c>
      <c r="AM60">
        <v>0</v>
      </c>
      <c r="AN60" t="s">
        <v>134</v>
      </c>
      <c r="AO60" t="b">
        <v>0</v>
      </c>
      <c r="AP60" t="s">
        <v>134</v>
      </c>
      <c r="AQ60">
        <v>0</v>
      </c>
      <c r="AR60">
        <v>1</v>
      </c>
      <c r="AS60">
        <v>1</v>
      </c>
      <c r="AT60">
        <v>1</v>
      </c>
      <c r="AU60">
        <v>4.3515156023738699</v>
      </c>
      <c r="AV60">
        <v>1.30266721873606</v>
      </c>
      <c r="AW60">
        <v>3.5218626541964002</v>
      </c>
      <c r="AX60">
        <v>59</v>
      </c>
      <c r="AY60">
        <v>13</v>
      </c>
      <c r="AZ60">
        <v>2</v>
      </c>
      <c r="BA60">
        <v>0</v>
      </c>
      <c r="BB60">
        <v>0</v>
      </c>
      <c r="BC60">
        <v>2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2</v>
      </c>
      <c r="BJ60">
        <v>2</v>
      </c>
      <c r="BK60">
        <v>3.5218626541964002</v>
      </c>
      <c r="BL60">
        <v>59</v>
      </c>
      <c r="BM60">
        <v>13</v>
      </c>
      <c r="BN60">
        <v>3.64559909535244</v>
      </c>
      <c r="BO60">
        <v>6975.8838470434903</v>
      </c>
      <c r="BP60" t="s">
        <v>424</v>
      </c>
      <c r="BQ60" t="s">
        <v>809</v>
      </c>
      <c r="BR60" cm="1">
        <f t="array" ref="BR60">IF($AP60="ארצי",SUMPRODUCT(($AP$2:$AP$143="ארצי")*($BK$2:$BK$143&gt;$BK60))+1,SUMPRODUCT(($AP$2:$AP$143=$AP60)*($L$2:$L$143=$L60)*($BK$2:$BK$143&gt;$BK60))+1)</f>
        <v>13</v>
      </c>
    </row>
    <row r="61" spans="1:70" x14ac:dyDescent="0.25">
      <c r="A61">
        <v>3</v>
      </c>
      <c r="B61">
        <v>34.998462229508299</v>
      </c>
      <c r="C61">
        <v>32.261408673611903</v>
      </c>
      <c r="D61" t="s">
        <v>425</v>
      </c>
      <c r="E61" t="s">
        <v>426</v>
      </c>
      <c r="F61" t="s">
        <v>128</v>
      </c>
      <c r="G61" t="s">
        <v>129</v>
      </c>
      <c r="H61" t="s">
        <v>154</v>
      </c>
      <c r="I61" t="s">
        <v>155</v>
      </c>
      <c r="J61" t="s">
        <v>74</v>
      </c>
      <c r="K61" t="s">
        <v>94</v>
      </c>
      <c r="L61" t="s">
        <v>94</v>
      </c>
      <c r="M61" t="s">
        <v>132</v>
      </c>
      <c r="N61" t="s">
        <v>133</v>
      </c>
      <c r="O61">
        <v>3693.98</v>
      </c>
      <c r="P61">
        <v>1182.5999999999999</v>
      </c>
      <c r="Q61">
        <v>0.320142502125079</v>
      </c>
      <c r="R61">
        <v>1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v>7485.3568624783802</v>
      </c>
      <c r="AA61">
        <v>1906.7027692546401</v>
      </c>
      <c r="AB61">
        <v>10487.460927070801</v>
      </c>
      <c r="AC61">
        <v>2812.8688283329702</v>
      </c>
      <c r="AD61">
        <v>6004.05871081838</v>
      </c>
      <c r="AE61">
        <v>1655.04704931371</v>
      </c>
      <c r="AF61">
        <v>23976.876500367602</v>
      </c>
      <c r="AG61">
        <v>6374.6186469013301</v>
      </c>
      <c r="AH61">
        <v>0</v>
      </c>
      <c r="AI61">
        <v>2</v>
      </c>
      <c r="AJ61">
        <v>0</v>
      </c>
      <c r="AK61">
        <v>2</v>
      </c>
      <c r="AL61">
        <v>9.9</v>
      </c>
      <c r="AM61">
        <v>0</v>
      </c>
      <c r="AN61" t="s">
        <v>134</v>
      </c>
      <c r="AO61" t="b">
        <v>0</v>
      </c>
      <c r="AP61" t="s">
        <v>134</v>
      </c>
      <c r="AQ61">
        <v>0</v>
      </c>
      <c r="AR61">
        <v>1</v>
      </c>
      <c r="AS61">
        <v>1</v>
      </c>
      <c r="AT61">
        <v>1</v>
      </c>
      <c r="AU61">
        <v>3.8735134754870599</v>
      </c>
      <c r="AV61">
        <v>1.44309260619058</v>
      </c>
      <c r="AW61">
        <v>3.49819057621727</v>
      </c>
      <c r="AX61">
        <v>60</v>
      </c>
      <c r="AY61">
        <v>14</v>
      </c>
      <c r="AZ61">
        <v>2</v>
      </c>
      <c r="BA61">
        <v>0</v>
      </c>
      <c r="BB61">
        <v>0</v>
      </c>
      <c r="BC61">
        <v>2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2</v>
      </c>
      <c r="BJ61">
        <v>2</v>
      </c>
      <c r="BK61">
        <v>3.49819057621727</v>
      </c>
      <c r="BL61">
        <v>60</v>
      </c>
      <c r="BM61">
        <v>14</v>
      </c>
      <c r="BN61">
        <v>3.5674945397471101</v>
      </c>
      <c r="BO61">
        <v>9895.0702175945898</v>
      </c>
      <c r="BP61" t="s">
        <v>427</v>
      </c>
      <c r="BQ61" t="s">
        <v>809</v>
      </c>
      <c r="BR61" cm="1">
        <f t="array" ref="BR61">IF($AP61="ארצי",SUMPRODUCT(($AP$2:$AP$143="ארצי")*($BK$2:$BK$143&gt;$BK61))+1,SUMPRODUCT(($AP$2:$AP$143=$AP61)*($L$2:$L$143=$L61)*($BK$2:$BK$143&gt;$BK61))+1)</f>
        <v>14</v>
      </c>
    </row>
    <row r="62" spans="1:70" x14ac:dyDescent="0.25">
      <c r="A62">
        <v>25</v>
      </c>
      <c r="B62">
        <v>34.868369390017101</v>
      </c>
      <c r="C62">
        <v>32.3224587559477</v>
      </c>
      <c r="D62" t="s">
        <v>431</v>
      </c>
      <c r="E62" t="s">
        <v>428</v>
      </c>
      <c r="F62" t="s">
        <v>98</v>
      </c>
      <c r="G62" t="s">
        <v>99</v>
      </c>
      <c r="H62" t="s">
        <v>429</v>
      </c>
      <c r="I62" t="s">
        <v>430</v>
      </c>
      <c r="J62" t="s">
        <v>74</v>
      </c>
      <c r="K62" t="s">
        <v>94</v>
      </c>
      <c r="L62" t="s">
        <v>94</v>
      </c>
      <c r="M62" t="s">
        <v>132</v>
      </c>
      <c r="N62" t="s">
        <v>133</v>
      </c>
      <c r="O62">
        <v>134264.97</v>
      </c>
      <c r="P62">
        <v>104076.15</v>
      </c>
      <c r="Q62">
        <v>0.77515490451455804</v>
      </c>
      <c r="R62">
        <v>0</v>
      </c>
      <c r="S62">
        <v>0</v>
      </c>
      <c r="T62">
        <v>0</v>
      </c>
      <c r="U62">
        <v>0</v>
      </c>
      <c r="V62">
        <v>7</v>
      </c>
      <c r="W62">
        <v>2</v>
      </c>
      <c r="X62">
        <v>0</v>
      </c>
      <c r="Y62">
        <v>7</v>
      </c>
      <c r="Z62">
        <v>5967.7597411547604</v>
      </c>
      <c r="AA62">
        <v>6674.1140810782799</v>
      </c>
      <c r="AB62">
        <v>15583.550885266701</v>
      </c>
      <c r="AC62">
        <v>12608.1057608752</v>
      </c>
      <c r="AD62">
        <v>13167.8080416065</v>
      </c>
      <c r="AE62">
        <v>11339.4856556595</v>
      </c>
      <c r="AF62">
        <v>34719.118668028001</v>
      </c>
      <c r="AG62">
        <v>30621.705497612998</v>
      </c>
      <c r="AH62">
        <v>0</v>
      </c>
      <c r="AI62">
        <v>2</v>
      </c>
      <c r="AJ62">
        <v>0</v>
      </c>
      <c r="AK62">
        <v>3</v>
      </c>
      <c r="AL62">
        <v>121.2</v>
      </c>
      <c r="AM62">
        <v>2</v>
      </c>
      <c r="AN62" t="s">
        <v>78</v>
      </c>
      <c r="AO62" t="b">
        <v>0</v>
      </c>
      <c r="AP62" t="s">
        <v>78</v>
      </c>
      <c r="AQ62">
        <v>2</v>
      </c>
      <c r="AR62">
        <v>1</v>
      </c>
      <c r="AS62">
        <v>4.4340075419952001</v>
      </c>
      <c r="AT62">
        <v>7</v>
      </c>
      <c r="AU62">
        <v>3.8966678994085102</v>
      </c>
      <c r="AV62">
        <v>2.4795533086490198</v>
      </c>
      <c r="AW62">
        <v>3.4533515353655102</v>
      </c>
      <c r="AX62">
        <v>62</v>
      </c>
      <c r="AY62">
        <v>13</v>
      </c>
      <c r="AZ62">
        <v>16</v>
      </c>
      <c r="BA62">
        <v>0</v>
      </c>
      <c r="BB62">
        <v>0</v>
      </c>
      <c r="BC62">
        <v>2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2</v>
      </c>
      <c r="BJ62">
        <v>16</v>
      </c>
      <c r="BK62">
        <v>3.4533515353655102</v>
      </c>
      <c r="BL62">
        <v>62</v>
      </c>
      <c r="BM62">
        <v>13</v>
      </c>
      <c r="BN62">
        <v>5.1279627191458301</v>
      </c>
      <c r="BO62">
        <v>31441.188131695999</v>
      </c>
      <c r="BP62" t="s">
        <v>907</v>
      </c>
      <c r="BQ62" t="s">
        <v>847</v>
      </c>
      <c r="BR62" cm="1">
        <f t="array" ref="BR62">IF($AP62="ארצי",SUMPRODUCT(($AP$2:$AP$143="ארצי")*($BK$2:$BK$143&gt;$BK62))+1,SUMPRODUCT(($AP$2:$AP$143=$AP62)*($L$2:$L$143=$L62)*($BK$2:$BK$143&gt;$BK62))+1)</f>
        <v>13</v>
      </c>
    </row>
    <row r="63" spans="1:70" x14ac:dyDescent="0.25">
      <c r="A63">
        <v>42</v>
      </c>
      <c r="B63">
        <v>34.8991990397124</v>
      </c>
      <c r="C63">
        <v>32.324226670995898</v>
      </c>
      <c r="D63" t="s">
        <v>432</v>
      </c>
      <c r="E63" t="s">
        <v>433</v>
      </c>
      <c r="F63" t="s">
        <v>128</v>
      </c>
      <c r="G63" t="s">
        <v>129</v>
      </c>
      <c r="H63" t="s">
        <v>154</v>
      </c>
      <c r="I63" t="s">
        <v>155</v>
      </c>
      <c r="J63" t="s">
        <v>74</v>
      </c>
      <c r="K63" t="s">
        <v>94</v>
      </c>
      <c r="L63" t="s">
        <v>94</v>
      </c>
      <c r="M63" t="s">
        <v>132</v>
      </c>
      <c r="N63" t="s">
        <v>133</v>
      </c>
      <c r="O63">
        <v>15690.52</v>
      </c>
      <c r="P63">
        <v>10561.7</v>
      </c>
      <c r="Q63">
        <v>0.67312619339575697</v>
      </c>
      <c r="R63">
        <v>1</v>
      </c>
      <c r="S63">
        <v>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v>1413.4503741542901</v>
      </c>
      <c r="AA63">
        <v>689.71754170654003</v>
      </c>
      <c r="AB63">
        <v>3813.8901125283501</v>
      </c>
      <c r="AC63">
        <v>1729.06045808361</v>
      </c>
      <c r="AD63">
        <v>4087.4909026042501</v>
      </c>
      <c r="AE63">
        <v>1660.05658691237</v>
      </c>
      <c r="AF63">
        <v>9314.8313892868991</v>
      </c>
      <c r="AG63">
        <v>4078.83458670252</v>
      </c>
      <c r="AH63">
        <v>0</v>
      </c>
      <c r="AI63">
        <v>2</v>
      </c>
      <c r="AJ63">
        <v>0</v>
      </c>
      <c r="AK63">
        <v>2</v>
      </c>
      <c r="AL63">
        <v>9.9</v>
      </c>
      <c r="AM63">
        <v>0</v>
      </c>
      <c r="AN63" t="s">
        <v>134</v>
      </c>
      <c r="AO63" t="b">
        <v>0</v>
      </c>
      <c r="AP63" t="s">
        <v>134</v>
      </c>
      <c r="AQ63">
        <v>0</v>
      </c>
      <c r="AR63">
        <v>1</v>
      </c>
      <c r="AS63">
        <v>1</v>
      </c>
      <c r="AT63">
        <v>1</v>
      </c>
      <c r="AU63">
        <v>7.7177654611628697</v>
      </c>
      <c r="AV63">
        <v>1.2136815028749399</v>
      </c>
      <c r="AW63">
        <v>3.4475425422878598</v>
      </c>
      <c r="AX63">
        <v>63</v>
      </c>
      <c r="AY63">
        <v>15</v>
      </c>
      <c r="AZ63">
        <v>2</v>
      </c>
      <c r="BA63">
        <v>0</v>
      </c>
      <c r="BB63">
        <v>0</v>
      </c>
      <c r="BC63">
        <v>2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2</v>
      </c>
      <c r="BJ63">
        <v>2</v>
      </c>
      <c r="BK63">
        <v>3.4475425422878598</v>
      </c>
      <c r="BL63">
        <v>63</v>
      </c>
      <c r="BM63">
        <v>15</v>
      </c>
      <c r="BN63">
        <v>4.1956373367920596</v>
      </c>
      <c r="BO63">
        <v>5126.0339472194</v>
      </c>
      <c r="BP63" t="s">
        <v>434</v>
      </c>
      <c r="BQ63" t="s">
        <v>809</v>
      </c>
      <c r="BR63" cm="1">
        <f t="array" ref="BR63">IF($AP63="ארצי",SUMPRODUCT(($AP$2:$AP$143="ארצי")*($BK$2:$BK$143&gt;$BK63))+1,SUMPRODUCT(($AP$2:$AP$143=$AP63)*($L$2:$L$143=$L63)*($BK$2:$BK$143&gt;$BK63))+1)</f>
        <v>15</v>
      </c>
    </row>
    <row r="64" spans="1:70" x14ac:dyDescent="0.25">
      <c r="A64">
        <v>414</v>
      </c>
      <c r="B64">
        <v>34.744327111930197</v>
      </c>
      <c r="C64">
        <v>31.861241971069902</v>
      </c>
      <c r="D64" t="s">
        <v>435</v>
      </c>
      <c r="E64" t="s">
        <v>436</v>
      </c>
      <c r="F64" t="s">
        <v>98</v>
      </c>
      <c r="G64" t="s">
        <v>99</v>
      </c>
      <c r="H64" t="s">
        <v>437</v>
      </c>
      <c r="I64" t="s">
        <v>438</v>
      </c>
      <c r="J64" t="s">
        <v>74</v>
      </c>
      <c r="K64" t="s">
        <v>94</v>
      </c>
      <c r="L64" t="s">
        <v>94</v>
      </c>
      <c r="M64" t="s">
        <v>132</v>
      </c>
      <c r="N64" t="s">
        <v>133</v>
      </c>
      <c r="O64">
        <v>14546.39</v>
      </c>
      <c r="P64">
        <v>10763.15</v>
      </c>
      <c r="Q64">
        <v>0.73991897646082605</v>
      </c>
      <c r="R64">
        <v>0</v>
      </c>
      <c r="S64">
        <v>0</v>
      </c>
      <c r="T64">
        <v>0</v>
      </c>
      <c r="U64">
        <v>0</v>
      </c>
      <c r="V64">
        <v>3</v>
      </c>
      <c r="W64">
        <v>6</v>
      </c>
      <c r="X64">
        <v>0</v>
      </c>
      <c r="Y64">
        <v>3</v>
      </c>
      <c r="Z64">
        <v>3292.4818544497598</v>
      </c>
      <c r="AA64">
        <v>3053.1094733816899</v>
      </c>
      <c r="AB64">
        <v>8183.9049623118299</v>
      </c>
      <c r="AC64">
        <v>2823.3162347964399</v>
      </c>
      <c r="AD64">
        <v>6585.9711407144196</v>
      </c>
      <c r="AE64">
        <v>1470.03131323562</v>
      </c>
      <c r="AF64">
        <v>18062.357957476001</v>
      </c>
      <c r="AG64">
        <v>7346.4570214137702</v>
      </c>
      <c r="AH64">
        <v>0</v>
      </c>
      <c r="AI64">
        <v>2</v>
      </c>
      <c r="AJ64">
        <v>0</v>
      </c>
      <c r="AK64">
        <v>3</v>
      </c>
      <c r="AL64">
        <v>82.8</v>
      </c>
      <c r="AM64">
        <v>2</v>
      </c>
      <c r="AN64" t="s">
        <v>103</v>
      </c>
      <c r="AO64" t="b">
        <v>0</v>
      </c>
      <c r="AP64" t="s">
        <v>103</v>
      </c>
      <c r="AQ64">
        <v>2</v>
      </c>
      <c r="AR64">
        <v>1</v>
      </c>
      <c r="AS64">
        <v>3.2492286595817599</v>
      </c>
      <c r="AT64">
        <v>7</v>
      </c>
      <c r="AU64">
        <v>3.2969798154271399</v>
      </c>
      <c r="AV64">
        <v>1.42358953919027</v>
      </c>
      <c r="AW64">
        <v>3.4121482740268601</v>
      </c>
      <c r="AX64">
        <v>64</v>
      </c>
      <c r="AY64">
        <v>26</v>
      </c>
      <c r="AZ64">
        <v>12</v>
      </c>
      <c r="BA64">
        <v>0</v>
      </c>
      <c r="BB64">
        <v>0</v>
      </c>
      <c r="BC64">
        <v>3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3</v>
      </c>
      <c r="BJ64">
        <v>12</v>
      </c>
      <c r="BK64">
        <v>3.4121482740268601</v>
      </c>
      <c r="BL64">
        <v>64</v>
      </c>
      <c r="BM64">
        <v>26</v>
      </c>
      <c r="BN64">
        <v>4.1627552271634602</v>
      </c>
      <c r="BO64">
        <v>9489.6372086262199</v>
      </c>
      <c r="BP64" t="s">
        <v>439</v>
      </c>
      <c r="BQ64" t="s">
        <v>848</v>
      </c>
      <c r="BR64" cm="1">
        <f t="array" ref="BR64">IF($AP64="ארצי",SUMPRODUCT(($AP$2:$AP$143="ארצי")*($BK$2:$BK$143&gt;$BK64))+1,SUMPRODUCT(($AP$2:$AP$143=$AP64)*($L$2:$L$143=$L64)*($BK$2:$BK$143&gt;$BK64))+1)</f>
        <v>14</v>
      </c>
    </row>
    <row r="65" spans="1:70" x14ac:dyDescent="0.25">
      <c r="A65">
        <v>620</v>
      </c>
      <c r="B65">
        <v>34.861427605249602</v>
      </c>
      <c r="C65">
        <v>32.096360104723203</v>
      </c>
      <c r="D65" t="s">
        <v>440</v>
      </c>
      <c r="E65" t="s">
        <v>441</v>
      </c>
      <c r="F65" t="s">
        <v>355</v>
      </c>
      <c r="G65" t="s">
        <v>356</v>
      </c>
      <c r="H65" t="s">
        <v>442</v>
      </c>
      <c r="I65" t="s">
        <v>443</v>
      </c>
      <c r="J65" t="s">
        <v>74</v>
      </c>
      <c r="K65" t="s">
        <v>94</v>
      </c>
      <c r="L65" t="s">
        <v>94</v>
      </c>
      <c r="M65" t="s">
        <v>219</v>
      </c>
      <c r="N65" t="s">
        <v>133</v>
      </c>
      <c r="O65">
        <v>157787.22999999899</v>
      </c>
      <c r="P65">
        <v>134990.41</v>
      </c>
      <c r="Q65">
        <v>0.855521768143087</v>
      </c>
      <c r="R65">
        <v>4</v>
      </c>
      <c r="S65">
        <v>0</v>
      </c>
      <c r="T65">
        <v>0</v>
      </c>
      <c r="U65">
        <v>0</v>
      </c>
      <c r="V65">
        <v>0</v>
      </c>
      <c r="W65">
        <v>2</v>
      </c>
      <c r="X65">
        <v>2</v>
      </c>
      <c r="Y65">
        <v>0</v>
      </c>
      <c r="Z65">
        <v>194.389867663611</v>
      </c>
      <c r="AA65">
        <v>21736.840676051401</v>
      </c>
      <c r="AB65">
        <v>5208.9224155269503</v>
      </c>
      <c r="AC65">
        <v>35381.8655411328</v>
      </c>
      <c r="AD65">
        <v>9645.3694702653993</v>
      </c>
      <c r="AE65">
        <v>19595.8448326818</v>
      </c>
      <c r="AF65">
        <v>15048.6817534559</v>
      </c>
      <c r="AG65">
        <v>76714.551049866102</v>
      </c>
      <c r="AH65">
        <v>0</v>
      </c>
      <c r="AI65">
        <v>2</v>
      </c>
      <c r="AJ65">
        <v>0</v>
      </c>
      <c r="AK65">
        <v>3</v>
      </c>
      <c r="AL65">
        <v>45.6</v>
      </c>
      <c r="AM65">
        <v>0</v>
      </c>
      <c r="AN65" t="s">
        <v>103</v>
      </c>
      <c r="AO65" t="b">
        <v>0</v>
      </c>
      <c r="AP65" t="s">
        <v>103</v>
      </c>
      <c r="AQ65">
        <v>0</v>
      </c>
      <c r="AR65">
        <v>1</v>
      </c>
      <c r="AS65">
        <v>2.1014741172437401</v>
      </c>
      <c r="AT65">
        <v>1</v>
      </c>
      <c r="AU65">
        <v>8.5525520513977007</v>
      </c>
      <c r="AV65">
        <v>4.0641177126498098</v>
      </c>
      <c r="AW65">
        <v>3.3942197099093501</v>
      </c>
      <c r="AX65">
        <v>65</v>
      </c>
      <c r="AY65">
        <v>27</v>
      </c>
      <c r="AZ65">
        <v>8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2</v>
      </c>
      <c r="BG65">
        <v>0</v>
      </c>
      <c r="BH65">
        <v>0</v>
      </c>
      <c r="BI65">
        <v>2</v>
      </c>
      <c r="BJ65">
        <v>8</v>
      </c>
      <c r="BK65">
        <v>3.3942197099093501</v>
      </c>
      <c r="BL65">
        <v>65</v>
      </c>
      <c r="BM65">
        <v>27</v>
      </c>
      <c r="BN65">
        <v>5.1980718520739702</v>
      </c>
      <c r="BO65">
        <v>64381.377190584099</v>
      </c>
      <c r="BP65" t="s">
        <v>444</v>
      </c>
      <c r="BQ65" t="s">
        <v>849</v>
      </c>
      <c r="BR65" cm="1">
        <f t="array" ref="BR65">IF($AP65="ארצי",SUMPRODUCT(($AP$2:$AP$143="ארצי")*($BK$2:$BK$143&gt;$BK65))+1,SUMPRODUCT(($AP$2:$AP$143=$AP65)*($L$2:$L$143=$L65)*($BK$2:$BK$143&gt;$BK65))+1)</f>
        <v>15</v>
      </c>
    </row>
    <row r="66" spans="1:70" x14ac:dyDescent="0.25">
      <c r="A66">
        <v>160</v>
      </c>
      <c r="B66">
        <v>34.865202664699098</v>
      </c>
      <c r="C66">
        <v>32.291044212364902</v>
      </c>
      <c r="D66" t="s">
        <v>445</v>
      </c>
      <c r="E66" t="s">
        <v>446</v>
      </c>
      <c r="F66" t="s">
        <v>128</v>
      </c>
      <c r="G66" t="s">
        <v>129</v>
      </c>
      <c r="H66" t="s">
        <v>154</v>
      </c>
      <c r="I66" t="s">
        <v>155</v>
      </c>
      <c r="J66" t="s">
        <v>74</v>
      </c>
      <c r="K66" t="s">
        <v>94</v>
      </c>
      <c r="L66" t="s">
        <v>94</v>
      </c>
      <c r="M66" t="s">
        <v>132</v>
      </c>
      <c r="N66" t="s">
        <v>133</v>
      </c>
      <c r="O66">
        <v>3235.85</v>
      </c>
      <c r="P66">
        <v>22.15</v>
      </c>
      <c r="Q66">
        <v>6.8451875086916799E-3</v>
      </c>
      <c r="R66">
        <v>1</v>
      </c>
      <c r="S66">
        <v>0</v>
      </c>
      <c r="T66">
        <v>0</v>
      </c>
      <c r="U66">
        <v>0</v>
      </c>
      <c r="V66">
        <v>0</v>
      </c>
      <c r="W66">
        <v>1</v>
      </c>
      <c r="X66">
        <v>0</v>
      </c>
      <c r="Y66">
        <v>0</v>
      </c>
      <c r="Z66">
        <v>4391.7461544502803</v>
      </c>
      <c r="AA66">
        <v>10089.9555034886</v>
      </c>
      <c r="AB66">
        <v>9677.2711932886195</v>
      </c>
      <c r="AC66">
        <v>13117.5554090553</v>
      </c>
      <c r="AD66">
        <v>8531.6982648654794</v>
      </c>
      <c r="AE66">
        <v>7000.9765132210396</v>
      </c>
      <c r="AF66">
        <v>22600.715612604399</v>
      </c>
      <c r="AG66">
        <v>30208.487425764899</v>
      </c>
      <c r="AH66">
        <v>0</v>
      </c>
      <c r="AI66">
        <v>2</v>
      </c>
      <c r="AJ66">
        <v>0</v>
      </c>
      <c r="AK66">
        <v>2</v>
      </c>
      <c r="AL66">
        <v>9.9</v>
      </c>
      <c r="AM66">
        <v>0</v>
      </c>
      <c r="AN66" t="s">
        <v>134</v>
      </c>
      <c r="AO66" t="b">
        <v>0</v>
      </c>
      <c r="AP66" t="s">
        <v>134</v>
      </c>
      <c r="AQ66">
        <v>0</v>
      </c>
      <c r="AR66">
        <v>1</v>
      </c>
      <c r="AS66">
        <v>1</v>
      </c>
      <c r="AT66">
        <v>1</v>
      </c>
      <c r="AU66">
        <v>3.5215741322742899</v>
      </c>
      <c r="AV66">
        <v>2.3470618243596699</v>
      </c>
      <c r="AW66">
        <v>3.3902401359921299</v>
      </c>
      <c r="AX66">
        <v>66</v>
      </c>
      <c r="AY66">
        <v>16</v>
      </c>
      <c r="AZ66">
        <v>2</v>
      </c>
      <c r="BA66">
        <v>0</v>
      </c>
      <c r="BB66">
        <v>0</v>
      </c>
      <c r="BC66">
        <v>2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2</v>
      </c>
      <c r="BJ66">
        <v>2</v>
      </c>
      <c r="BK66">
        <v>3.3902401359921299</v>
      </c>
      <c r="BL66">
        <v>66</v>
      </c>
      <c r="BM66">
        <v>16</v>
      </c>
      <c r="BN66">
        <v>3.5099883813944399</v>
      </c>
      <c r="BO66">
        <v>28686.933063132801</v>
      </c>
      <c r="BP66" t="s">
        <v>447</v>
      </c>
      <c r="BQ66" t="s">
        <v>809</v>
      </c>
      <c r="BR66" cm="1">
        <f t="array" ref="BR66">IF($AP66="ארצי",SUMPRODUCT(($AP$2:$AP$143="ארצי")*($BK$2:$BK$143&gt;$BK66))+1,SUMPRODUCT(($AP$2:$AP$143=$AP66)*($L$2:$L$143=$L66)*($BK$2:$BK$143&gt;$BK66))+1)</f>
        <v>16</v>
      </c>
    </row>
    <row r="67" spans="1:70" x14ac:dyDescent="0.25">
      <c r="A67">
        <v>326</v>
      </c>
      <c r="B67">
        <v>34.879194101508297</v>
      </c>
      <c r="C67">
        <v>31.967611866908399</v>
      </c>
      <c r="D67" t="s">
        <v>448</v>
      </c>
      <c r="E67" t="s">
        <v>449</v>
      </c>
      <c r="F67" t="s">
        <v>450</v>
      </c>
      <c r="G67" t="s">
        <v>451</v>
      </c>
      <c r="H67" t="s">
        <v>452</v>
      </c>
      <c r="I67" t="s">
        <v>453</v>
      </c>
      <c r="J67" t="s">
        <v>74</v>
      </c>
      <c r="K67" t="s">
        <v>94</v>
      </c>
      <c r="L67" t="s">
        <v>94</v>
      </c>
      <c r="M67" t="s">
        <v>219</v>
      </c>
      <c r="N67" t="s">
        <v>133</v>
      </c>
      <c r="O67">
        <v>13379.26</v>
      </c>
      <c r="P67">
        <v>6653.15</v>
      </c>
      <c r="Q67">
        <v>0.49727339180193803</v>
      </c>
      <c r="R67">
        <v>2</v>
      </c>
      <c r="S67">
        <v>0</v>
      </c>
      <c r="T67">
        <v>0</v>
      </c>
      <c r="U67">
        <v>0</v>
      </c>
      <c r="V67">
        <v>2</v>
      </c>
      <c r="W67">
        <v>0</v>
      </c>
      <c r="X67">
        <v>0</v>
      </c>
      <c r="Y67">
        <v>0</v>
      </c>
      <c r="Z67">
        <v>4631.7633300211701</v>
      </c>
      <c r="AA67">
        <v>2086.6777186767299</v>
      </c>
      <c r="AB67">
        <v>8290.7468982351402</v>
      </c>
      <c r="AC67">
        <v>4019.4539697063501</v>
      </c>
      <c r="AD67">
        <v>5493.83198325584</v>
      </c>
      <c r="AE67">
        <v>4150.5707950777396</v>
      </c>
      <c r="AF67">
        <v>18416.342211512099</v>
      </c>
      <c r="AG67">
        <v>10256.7024834608</v>
      </c>
      <c r="AH67">
        <v>0</v>
      </c>
      <c r="AI67">
        <v>2</v>
      </c>
      <c r="AJ67">
        <v>0</v>
      </c>
      <c r="AK67">
        <v>2</v>
      </c>
      <c r="AL67">
        <v>24.2</v>
      </c>
      <c r="AM67">
        <v>3</v>
      </c>
      <c r="AN67" t="s">
        <v>103</v>
      </c>
      <c r="AO67" t="b">
        <v>0</v>
      </c>
      <c r="AP67" t="s">
        <v>103</v>
      </c>
      <c r="AQ67">
        <v>3</v>
      </c>
      <c r="AR67">
        <v>1</v>
      </c>
      <c r="AS67">
        <v>1.4412067192320801</v>
      </c>
      <c r="AT67">
        <v>10</v>
      </c>
      <c r="AU67">
        <v>3.11259288658069</v>
      </c>
      <c r="AV67">
        <v>1.5389914045457</v>
      </c>
      <c r="AW67">
        <v>3.3720906727725701</v>
      </c>
      <c r="AX67">
        <v>67</v>
      </c>
      <c r="AY67">
        <v>28</v>
      </c>
      <c r="AZ67">
        <v>4</v>
      </c>
      <c r="BA67">
        <v>0</v>
      </c>
      <c r="BB67">
        <v>0</v>
      </c>
      <c r="BC67">
        <v>1</v>
      </c>
      <c r="BD67">
        <v>0</v>
      </c>
      <c r="BE67">
        <v>0</v>
      </c>
      <c r="BF67">
        <v>1</v>
      </c>
      <c r="BG67">
        <v>0</v>
      </c>
      <c r="BH67">
        <v>0</v>
      </c>
      <c r="BI67">
        <v>2</v>
      </c>
      <c r="BJ67">
        <v>4</v>
      </c>
      <c r="BK67">
        <v>3.3720906727725701</v>
      </c>
      <c r="BL67">
        <v>67</v>
      </c>
      <c r="BM67">
        <v>28</v>
      </c>
      <c r="BN67">
        <v>4.1264320934912897</v>
      </c>
      <c r="BO67">
        <v>11888.630429071</v>
      </c>
      <c r="BP67" t="s">
        <v>454</v>
      </c>
      <c r="BQ67" t="s">
        <v>850</v>
      </c>
      <c r="BR67" cm="1">
        <f t="array" ref="BR67">IF($AP67="ארצי",SUMPRODUCT(($AP$2:$AP$143="ארצי")*($BK$2:$BK$143&gt;$BK67))+1,SUMPRODUCT(($AP$2:$AP$143=$AP67)*($L$2:$L$143=$L67)*($BK$2:$BK$143&gt;$BK67))+1)</f>
        <v>16</v>
      </c>
    </row>
    <row r="68" spans="1:70" x14ac:dyDescent="0.25">
      <c r="A68">
        <v>99</v>
      </c>
      <c r="B68">
        <v>34.916011631741199</v>
      </c>
      <c r="C68">
        <v>32.200293452556998</v>
      </c>
      <c r="D68" t="s">
        <v>455</v>
      </c>
      <c r="E68" t="s">
        <v>456</v>
      </c>
      <c r="F68" t="s">
        <v>128</v>
      </c>
      <c r="G68" t="s">
        <v>129</v>
      </c>
      <c r="H68" t="s">
        <v>154</v>
      </c>
      <c r="I68" t="s">
        <v>155</v>
      </c>
      <c r="J68" t="s">
        <v>74</v>
      </c>
      <c r="K68" t="s">
        <v>94</v>
      </c>
      <c r="L68" t="s">
        <v>94</v>
      </c>
      <c r="M68" t="s">
        <v>132</v>
      </c>
      <c r="N68" t="s">
        <v>133</v>
      </c>
      <c r="O68">
        <v>14080.48</v>
      </c>
      <c r="P68">
        <v>110.97</v>
      </c>
      <c r="Q68">
        <v>7.88112337079417E-3</v>
      </c>
      <c r="R68">
        <v>1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827.167511919817</v>
      </c>
      <c r="AA68">
        <v>407.31095877396598</v>
      </c>
      <c r="AB68">
        <v>5121.0635410577997</v>
      </c>
      <c r="AC68">
        <v>1824.78704014593</v>
      </c>
      <c r="AD68">
        <v>3987.5851459452801</v>
      </c>
      <c r="AE68">
        <v>1385.0244698725201</v>
      </c>
      <c r="AF68">
        <v>9935.8161989229102</v>
      </c>
      <c r="AG68">
        <v>3617.12246879242</v>
      </c>
      <c r="AH68">
        <v>0</v>
      </c>
      <c r="AI68">
        <v>2</v>
      </c>
      <c r="AJ68">
        <v>0</v>
      </c>
      <c r="AK68">
        <v>2</v>
      </c>
      <c r="AL68">
        <v>9.9</v>
      </c>
      <c r="AM68">
        <v>0</v>
      </c>
      <c r="AN68" t="s">
        <v>134</v>
      </c>
      <c r="AO68" t="b">
        <v>0</v>
      </c>
      <c r="AP68" t="s">
        <v>134</v>
      </c>
      <c r="AQ68">
        <v>0</v>
      </c>
      <c r="AR68">
        <v>1</v>
      </c>
      <c r="AS68">
        <v>1</v>
      </c>
      <c r="AT68">
        <v>1</v>
      </c>
      <c r="AU68">
        <v>7.4300024630164101</v>
      </c>
      <c r="AV68">
        <v>1.2018876426788301</v>
      </c>
      <c r="AW68">
        <v>3.3468610250957398</v>
      </c>
      <c r="AX68">
        <v>68</v>
      </c>
      <c r="AY68">
        <v>17</v>
      </c>
      <c r="AZ68">
        <v>2</v>
      </c>
      <c r="BA68">
        <v>0</v>
      </c>
      <c r="BB68">
        <v>0</v>
      </c>
      <c r="BC68">
        <v>2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2</v>
      </c>
      <c r="BJ68">
        <v>2</v>
      </c>
      <c r="BK68">
        <v>3.3468610250957398</v>
      </c>
      <c r="BL68">
        <v>68</v>
      </c>
      <c r="BM68">
        <v>17</v>
      </c>
      <c r="BN68">
        <v>4.1486174600474301</v>
      </c>
      <c r="BO68">
        <v>4880.8612148185202</v>
      </c>
      <c r="BP68" t="s">
        <v>457</v>
      </c>
      <c r="BQ68" t="s">
        <v>809</v>
      </c>
      <c r="BR68" cm="1">
        <f t="array" ref="BR68">IF($AP68="ארצי",SUMPRODUCT(($AP$2:$AP$143="ארצי")*($BK$2:$BK$143&gt;$BK68))+1,SUMPRODUCT(($AP$2:$AP$143=$AP68)*($L$2:$L$143=$L68)*($BK$2:$BK$143&gt;$BK68))+1)</f>
        <v>17</v>
      </c>
    </row>
    <row r="69" spans="1:70" x14ac:dyDescent="0.25">
      <c r="A69">
        <v>317</v>
      </c>
      <c r="B69">
        <v>34.897738211874497</v>
      </c>
      <c r="C69">
        <v>31.958724417568</v>
      </c>
      <c r="D69" t="s">
        <v>458</v>
      </c>
      <c r="E69" t="s">
        <v>459</v>
      </c>
      <c r="F69" t="s">
        <v>460</v>
      </c>
      <c r="G69" t="s">
        <v>461</v>
      </c>
      <c r="H69" t="s">
        <v>462</v>
      </c>
      <c r="I69" t="s">
        <v>463</v>
      </c>
      <c r="J69" t="s">
        <v>74</v>
      </c>
      <c r="K69" t="s">
        <v>94</v>
      </c>
      <c r="L69" t="s">
        <v>94</v>
      </c>
      <c r="M69" t="s">
        <v>219</v>
      </c>
      <c r="N69" t="s">
        <v>133</v>
      </c>
      <c r="O69">
        <v>29674.84</v>
      </c>
      <c r="P69">
        <v>15638.839</v>
      </c>
      <c r="Q69">
        <v>0.52700668310258703</v>
      </c>
      <c r="R69">
        <v>6</v>
      </c>
      <c r="S69">
        <v>0</v>
      </c>
      <c r="T69">
        <v>0</v>
      </c>
      <c r="U69">
        <v>0</v>
      </c>
      <c r="V69">
        <v>0</v>
      </c>
      <c r="W69">
        <v>2</v>
      </c>
      <c r="X69">
        <v>0</v>
      </c>
      <c r="Y69">
        <v>0</v>
      </c>
      <c r="Z69">
        <v>15043.728087382</v>
      </c>
      <c r="AA69">
        <v>10461.856445097799</v>
      </c>
      <c r="AB69">
        <v>21513.869063136</v>
      </c>
      <c r="AC69">
        <v>20894.191042611699</v>
      </c>
      <c r="AD69">
        <v>9781.1027802648605</v>
      </c>
      <c r="AE69">
        <v>7297.7573065798997</v>
      </c>
      <c r="AF69">
        <v>46338.699930782997</v>
      </c>
      <c r="AG69">
        <v>38653.804794289397</v>
      </c>
      <c r="AH69">
        <v>0</v>
      </c>
      <c r="AI69">
        <v>2</v>
      </c>
      <c r="AJ69">
        <v>0</v>
      </c>
      <c r="AK69">
        <v>2</v>
      </c>
      <c r="AL69">
        <v>37.4</v>
      </c>
      <c r="AM69">
        <v>0</v>
      </c>
      <c r="AN69" t="s">
        <v>143</v>
      </c>
      <c r="AO69" t="b">
        <v>0</v>
      </c>
      <c r="AP69" t="s">
        <v>143</v>
      </c>
      <c r="AQ69">
        <v>0</v>
      </c>
      <c r="AR69">
        <v>1</v>
      </c>
      <c r="AS69">
        <v>1.8484744600617</v>
      </c>
      <c r="AT69">
        <v>1</v>
      </c>
      <c r="AU69">
        <v>7.7437891208881302</v>
      </c>
      <c r="AV69">
        <v>3.12225225038291</v>
      </c>
      <c r="AW69">
        <v>3.3334829719072698</v>
      </c>
      <c r="AX69">
        <v>69</v>
      </c>
      <c r="AY69">
        <v>11</v>
      </c>
      <c r="AZ69">
        <v>8</v>
      </c>
      <c r="BA69">
        <v>0</v>
      </c>
      <c r="BB69">
        <v>0</v>
      </c>
      <c r="BC69">
        <v>2</v>
      </c>
      <c r="BD69">
        <v>0</v>
      </c>
      <c r="BE69">
        <v>0</v>
      </c>
      <c r="BF69">
        <v>4</v>
      </c>
      <c r="BG69">
        <v>0</v>
      </c>
      <c r="BH69">
        <v>0</v>
      </c>
      <c r="BI69">
        <v>6</v>
      </c>
      <c r="BJ69">
        <v>8</v>
      </c>
      <c r="BK69">
        <v>3.3334829719072698</v>
      </c>
      <c r="BL69">
        <v>69</v>
      </c>
      <c r="BM69">
        <v>11</v>
      </c>
      <c r="BN69">
        <v>4.4723883860156901</v>
      </c>
      <c r="BO69">
        <v>44801.720903484304</v>
      </c>
      <c r="BP69" t="s">
        <v>464</v>
      </c>
      <c r="BQ69" t="s">
        <v>851</v>
      </c>
      <c r="BR69" cm="1">
        <f t="array" ref="BR69">IF($AP69="ארצי",SUMPRODUCT(($AP$2:$AP$143="ארצי")*($BK$2:$BK$143&gt;$BK69))+1,SUMPRODUCT(($AP$2:$AP$143=$AP69)*($L$2:$L$143=$L69)*($BK$2:$BK$143&gt;$BK69))+1)</f>
        <v>5</v>
      </c>
    </row>
    <row r="70" spans="1:70" x14ac:dyDescent="0.25">
      <c r="A70">
        <v>213</v>
      </c>
      <c r="B70">
        <v>35.299463474735703</v>
      </c>
      <c r="C70">
        <v>32.693331866597703</v>
      </c>
      <c r="D70" t="s">
        <v>465</v>
      </c>
      <c r="E70" t="s">
        <v>466</v>
      </c>
      <c r="F70" t="s">
        <v>460</v>
      </c>
      <c r="G70" t="s">
        <v>461</v>
      </c>
      <c r="H70" t="s">
        <v>467</v>
      </c>
      <c r="I70" t="s">
        <v>468</v>
      </c>
      <c r="J70" t="s">
        <v>74</v>
      </c>
      <c r="K70" t="s">
        <v>394</v>
      </c>
      <c r="L70" t="s">
        <v>394</v>
      </c>
      <c r="M70" t="s">
        <v>395</v>
      </c>
      <c r="N70" t="s">
        <v>277</v>
      </c>
      <c r="O70">
        <v>5225.7329523199996</v>
      </c>
      <c r="P70">
        <v>4240.3904505299997</v>
      </c>
      <c r="Q70">
        <v>0.81144415323547003</v>
      </c>
      <c r="R70">
        <v>14.5</v>
      </c>
      <c r="S70">
        <v>0</v>
      </c>
      <c r="T70">
        <v>0</v>
      </c>
      <c r="U70">
        <v>0</v>
      </c>
      <c r="V70">
        <v>0</v>
      </c>
      <c r="W70">
        <v>2.5</v>
      </c>
      <c r="X70">
        <v>0</v>
      </c>
      <c r="Y70">
        <v>0</v>
      </c>
      <c r="Z70">
        <v>9499.5043567124503</v>
      </c>
      <c r="AA70">
        <v>6661.2911455331496</v>
      </c>
      <c r="AB70">
        <v>13405.5588733736</v>
      </c>
      <c r="AC70">
        <v>7683.9811606150097</v>
      </c>
      <c r="AD70">
        <v>7915.5234706899901</v>
      </c>
      <c r="AE70">
        <v>3675.6206208539202</v>
      </c>
      <c r="AF70">
        <v>30820.586700775999</v>
      </c>
      <c r="AG70">
        <v>18020.892927002002</v>
      </c>
      <c r="AH70">
        <v>1</v>
      </c>
      <c r="AI70">
        <v>1</v>
      </c>
      <c r="AJ70">
        <v>1</v>
      </c>
      <c r="AK70">
        <v>2</v>
      </c>
      <c r="AL70">
        <v>77.55</v>
      </c>
      <c r="AM70">
        <v>0</v>
      </c>
      <c r="AN70" t="s">
        <v>143</v>
      </c>
      <c r="AO70" t="b">
        <v>0</v>
      </c>
      <c r="AP70" t="s">
        <v>143</v>
      </c>
      <c r="AQ70">
        <v>0</v>
      </c>
      <c r="AR70">
        <v>4</v>
      </c>
      <c r="AS70">
        <v>3.0872471717517902</v>
      </c>
      <c r="AT70">
        <v>1</v>
      </c>
      <c r="AU70">
        <v>4.0464535427445298</v>
      </c>
      <c r="AV70">
        <v>2.3265556815041202</v>
      </c>
      <c r="AW70">
        <v>3.2940197402497899</v>
      </c>
      <c r="AX70">
        <v>70</v>
      </c>
      <c r="AY70">
        <v>12</v>
      </c>
      <c r="AZ70">
        <v>17</v>
      </c>
      <c r="BA70">
        <v>5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2</v>
      </c>
      <c r="BH70">
        <v>0</v>
      </c>
      <c r="BI70">
        <v>7</v>
      </c>
      <c r="BJ70">
        <v>17</v>
      </c>
      <c r="BK70">
        <v>3.2940197402497899</v>
      </c>
      <c r="BL70">
        <v>70</v>
      </c>
      <c r="BM70">
        <v>12</v>
      </c>
      <c r="BN70">
        <v>3.7181472124527</v>
      </c>
      <c r="BO70">
        <v>28260.647946021199</v>
      </c>
      <c r="BP70" t="s">
        <v>469</v>
      </c>
      <c r="BQ70" t="s">
        <v>852</v>
      </c>
      <c r="BR70" cm="1">
        <f t="array" ref="BR70">IF($AP70="ארצי",SUMPRODUCT(($AP$2:$AP$143="ארצי")*($BK$2:$BK$143&gt;$BK70))+1,SUMPRODUCT(($AP$2:$AP$143=$AP70)*($L$2:$L$143=$L70)*($BK$2:$BK$143&gt;$BK70))+1)</f>
        <v>1</v>
      </c>
    </row>
    <row r="71" spans="1:70" x14ac:dyDescent="0.25">
      <c r="A71">
        <v>691</v>
      </c>
      <c r="B71">
        <v>34.758030887031097</v>
      </c>
      <c r="C71">
        <v>31.988070937336001</v>
      </c>
      <c r="D71" t="s">
        <v>470</v>
      </c>
      <c r="E71" t="s">
        <v>471</v>
      </c>
      <c r="F71" t="s">
        <v>472</v>
      </c>
      <c r="G71" t="s">
        <v>473</v>
      </c>
      <c r="H71" t="s">
        <v>474</v>
      </c>
      <c r="I71" t="s">
        <v>475</v>
      </c>
      <c r="J71" t="s">
        <v>74</v>
      </c>
      <c r="K71" t="s">
        <v>94</v>
      </c>
      <c r="L71" t="s">
        <v>94</v>
      </c>
      <c r="M71" t="s">
        <v>219</v>
      </c>
      <c r="N71" t="s">
        <v>133</v>
      </c>
      <c r="O71">
        <v>70644.429999999993</v>
      </c>
      <c r="P71">
        <v>46215.67</v>
      </c>
      <c r="Q71">
        <v>0.654201187552932</v>
      </c>
      <c r="R71">
        <v>0</v>
      </c>
      <c r="S71">
        <v>0</v>
      </c>
      <c r="T71">
        <v>0</v>
      </c>
      <c r="U71">
        <v>0</v>
      </c>
      <c r="V71">
        <v>0</v>
      </c>
      <c r="W71">
        <v>11</v>
      </c>
      <c r="X71">
        <v>0</v>
      </c>
      <c r="Y71">
        <v>4</v>
      </c>
      <c r="Z71">
        <v>4044.2315826335898</v>
      </c>
      <c r="AA71">
        <v>15045.7614311467</v>
      </c>
      <c r="AB71">
        <v>10805.8424483813</v>
      </c>
      <c r="AC71">
        <v>20950.6267540271</v>
      </c>
      <c r="AD71">
        <v>6727.4816700189203</v>
      </c>
      <c r="AE71">
        <v>10881.3259691402</v>
      </c>
      <c r="AF71">
        <v>21577.555701033802</v>
      </c>
      <c r="AG71">
        <v>46877.714154314097</v>
      </c>
      <c r="AH71">
        <v>0</v>
      </c>
      <c r="AI71">
        <v>2</v>
      </c>
      <c r="AJ71">
        <v>0</v>
      </c>
      <c r="AK71">
        <v>2</v>
      </c>
      <c r="AL71">
        <v>86.9</v>
      </c>
      <c r="AM71">
        <v>0</v>
      </c>
      <c r="AN71" t="s">
        <v>103</v>
      </c>
      <c r="AO71" t="b">
        <v>0</v>
      </c>
      <c r="AP71" t="s">
        <v>103</v>
      </c>
      <c r="AQ71">
        <v>0</v>
      </c>
      <c r="AR71">
        <v>1</v>
      </c>
      <c r="AS71">
        <v>3.37572848817278</v>
      </c>
      <c r="AT71">
        <v>1</v>
      </c>
      <c r="AU71">
        <v>6.7809560509753704</v>
      </c>
      <c r="AV71">
        <v>2.97870720018707</v>
      </c>
      <c r="AW71">
        <v>3.2824785467653399</v>
      </c>
      <c r="AX71">
        <v>71</v>
      </c>
      <c r="AY71">
        <v>29</v>
      </c>
      <c r="AZ71">
        <v>15</v>
      </c>
      <c r="BA71">
        <v>2</v>
      </c>
      <c r="BB71">
        <v>0</v>
      </c>
      <c r="BC71">
        <v>0</v>
      </c>
      <c r="BD71">
        <v>0</v>
      </c>
      <c r="BE71">
        <v>0</v>
      </c>
      <c r="BF71">
        <v>4</v>
      </c>
      <c r="BG71">
        <v>1</v>
      </c>
      <c r="BH71">
        <v>0</v>
      </c>
      <c r="BI71">
        <v>7</v>
      </c>
      <c r="BJ71">
        <v>15</v>
      </c>
      <c r="BK71">
        <v>3.2824785467653399</v>
      </c>
      <c r="BL71">
        <v>71</v>
      </c>
      <c r="BM71">
        <v>29</v>
      </c>
      <c r="BN71">
        <v>4.8490779253406098</v>
      </c>
      <c r="BO71">
        <v>41817.682463657999</v>
      </c>
      <c r="BP71" t="s">
        <v>476</v>
      </c>
      <c r="BQ71" t="s">
        <v>853</v>
      </c>
      <c r="BR71" cm="1">
        <f t="array" ref="BR71">IF($AP71="ארצי",SUMPRODUCT(($AP$2:$AP$143="ארצי")*($BK$2:$BK$143&gt;$BK71))+1,SUMPRODUCT(($AP$2:$AP$143=$AP71)*($L$2:$L$143=$L71)*($BK$2:$BK$143&gt;$BK71))+1)</f>
        <v>17</v>
      </c>
    </row>
    <row r="72" spans="1:70" x14ac:dyDescent="0.25">
      <c r="A72">
        <v>142</v>
      </c>
      <c r="B72">
        <v>34.8605503237888</v>
      </c>
      <c r="C72">
        <v>32.262765939969903</v>
      </c>
      <c r="D72" t="s">
        <v>477</v>
      </c>
      <c r="E72" t="s">
        <v>478</v>
      </c>
      <c r="F72" t="s">
        <v>479</v>
      </c>
      <c r="G72" t="s">
        <v>480</v>
      </c>
      <c r="H72" t="s">
        <v>481</v>
      </c>
      <c r="I72" t="s">
        <v>482</v>
      </c>
      <c r="J72" t="s">
        <v>74</v>
      </c>
      <c r="K72" t="s">
        <v>94</v>
      </c>
      <c r="L72" t="s">
        <v>94</v>
      </c>
      <c r="M72" t="s">
        <v>132</v>
      </c>
      <c r="N72" t="s">
        <v>133</v>
      </c>
      <c r="O72">
        <v>28119</v>
      </c>
      <c r="P72">
        <v>12202</v>
      </c>
      <c r="Q72">
        <v>0.433941463067676</v>
      </c>
      <c r="R72">
        <v>0</v>
      </c>
      <c r="S72">
        <v>0</v>
      </c>
      <c r="T72">
        <v>0</v>
      </c>
      <c r="U72">
        <v>0</v>
      </c>
      <c r="V72">
        <v>0</v>
      </c>
      <c r="W72">
        <v>4</v>
      </c>
      <c r="X72">
        <v>0</v>
      </c>
      <c r="Y72">
        <v>4</v>
      </c>
      <c r="Z72">
        <v>673.99275554436599</v>
      </c>
      <c r="AA72">
        <v>327.31792231368598</v>
      </c>
      <c r="AB72">
        <v>1438.8958006790001</v>
      </c>
      <c r="AC72">
        <v>666.40335793561303</v>
      </c>
      <c r="AD72">
        <v>1063.2012702828099</v>
      </c>
      <c r="AE72">
        <v>2535.6515912192699</v>
      </c>
      <c r="AF72">
        <v>3176.0898265061801</v>
      </c>
      <c r="AG72">
        <v>3529.3728714685699</v>
      </c>
      <c r="AH72">
        <v>0</v>
      </c>
      <c r="AI72">
        <v>2</v>
      </c>
      <c r="AJ72">
        <v>0</v>
      </c>
      <c r="AK72">
        <v>2</v>
      </c>
      <c r="AL72">
        <v>48.4</v>
      </c>
      <c r="AM72">
        <v>2</v>
      </c>
      <c r="AN72" t="s">
        <v>103</v>
      </c>
      <c r="AO72" t="b">
        <v>0</v>
      </c>
      <c r="AP72" t="s">
        <v>103</v>
      </c>
      <c r="AQ72">
        <v>2</v>
      </c>
      <c r="AR72">
        <v>1</v>
      </c>
      <c r="AS72">
        <v>2.18786424408639</v>
      </c>
      <c r="AT72">
        <v>7</v>
      </c>
      <c r="AU72">
        <v>4.7500419710675903</v>
      </c>
      <c r="AV72">
        <v>1.1334763696050001</v>
      </c>
      <c r="AW72">
        <v>3.27109899993251</v>
      </c>
      <c r="AX72">
        <v>72</v>
      </c>
      <c r="AY72">
        <v>30</v>
      </c>
      <c r="AZ72">
        <v>8</v>
      </c>
      <c r="BA72">
        <v>0</v>
      </c>
      <c r="BB72">
        <v>0</v>
      </c>
      <c r="BC72">
        <v>4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4</v>
      </c>
      <c r="BJ72">
        <v>8</v>
      </c>
      <c r="BK72">
        <v>3.27109899993251</v>
      </c>
      <c r="BL72">
        <v>72</v>
      </c>
      <c r="BM72">
        <v>30</v>
      </c>
      <c r="BN72">
        <v>4.4489998717459196</v>
      </c>
      <c r="BO72">
        <v>3458.7162624760899</v>
      </c>
      <c r="BP72" t="s">
        <v>483</v>
      </c>
      <c r="BQ72" t="s">
        <v>854</v>
      </c>
      <c r="BR72" cm="1">
        <f t="array" ref="BR72">IF($AP72="ארצי",SUMPRODUCT(($AP$2:$AP$143="ארצי")*($BK$2:$BK$143&gt;$BK72))+1,SUMPRODUCT(($AP$2:$AP$143=$AP72)*($L$2:$L$143=$L72)*($BK$2:$BK$143&gt;$BK72))+1)</f>
        <v>18</v>
      </c>
    </row>
    <row r="73" spans="1:70" x14ac:dyDescent="0.25">
      <c r="A73">
        <v>169</v>
      </c>
      <c r="B73">
        <v>34.806337405524303</v>
      </c>
      <c r="C73">
        <v>32.163196821109899</v>
      </c>
      <c r="D73" t="s">
        <v>484</v>
      </c>
      <c r="E73" t="s">
        <v>485</v>
      </c>
      <c r="F73" t="s">
        <v>486</v>
      </c>
      <c r="G73" t="s">
        <v>487</v>
      </c>
      <c r="H73" t="s">
        <v>488</v>
      </c>
      <c r="I73" t="s">
        <v>489</v>
      </c>
      <c r="J73" t="s">
        <v>74</v>
      </c>
      <c r="K73" t="s">
        <v>94</v>
      </c>
      <c r="L73" t="s">
        <v>94</v>
      </c>
      <c r="M73" t="s">
        <v>142</v>
      </c>
      <c r="N73" t="s">
        <v>133</v>
      </c>
      <c r="O73">
        <v>169505.03</v>
      </c>
      <c r="P73">
        <v>162895.31</v>
      </c>
      <c r="Q73">
        <v>0.96100575894414397</v>
      </c>
      <c r="R73">
        <v>2</v>
      </c>
      <c r="S73">
        <v>0</v>
      </c>
      <c r="T73">
        <v>0</v>
      </c>
      <c r="U73">
        <v>0</v>
      </c>
      <c r="V73">
        <v>0</v>
      </c>
      <c r="W73">
        <v>3</v>
      </c>
      <c r="X73">
        <v>2</v>
      </c>
      <c r="Y73">
        <v>0</v>
      </c>
      <c r="Z73">
        <v>8163.9753370033204</v>
      </c>
      <c r="AA73">
        <v>16259.597585114199</v>
      </c>
      <c r="AB73">
        <v>11832.773460254</v>
      </c>
      <c r="AC73">
        <v>19281.940539781201</v>
      </c>
      <c r="AD73">
        <v>7105.6688563672997</v>
      </c>
      <c r="AE73">
        <v>11135.5464074017</v>
      </c>
      <c r="AF73">
        <v>27102.4176536247</v>
      </c>
      <c r="AG73">
        <v>46677.084532297202</v>
      </c>
      <c r="AH73">
        <v>0</v>
      </c>
      <c r="AI73">
        <v>2</v>
      </c>
      <c r="AJ73">
        <v>0</v>
      </c>
      <c r="AK73">
        <v>3</v>
      </c>
      <c r="AL73">
        <v>42</v>
      </c>
      <c r="AM73">
        <v>0</v>
      </c>
      <c r="AN73" t="s">
        <v>103</v>
      </c>
      <c r="AO73" t="b">
        <v>0</v>
      </c>
      <c r="AP73" t="s">
        <v>103</v>
      </c>
      <c r="AQ73">
        <v>0</v>
      </c>
      <c r="AR73">
        <v>1</v>
      </c>
      <c r="AS73">
        <v>1.9904010970174799</v>
      </c>
      <c r="AT73">
        <v>1</v>
      </c>
      <c r="AU73">
        <v>8.7104793249691692</v>
      </c>
      <c r="AV73">
        <v>3.0241401959963601</v>
      </c>
      <c r="AW73">
        <v>3.2503823101733502</v>
      </c>
      <c r="AX73">
        <v>73</v>
      </c>
      <c r="AY73">
        <v>31</v>
      </c>
      <c r="AZ73">
        <v>7</v>
      </c>
      <c r="BA73">
        <v>2</v>
      </c>
      <c r="BB73">
        <v>0</v>
      </c>
      <c r="BC73">
        <v>2</v>
      </c>
      <c r="BD73">
        <v>0</v>
      </c>
      <c r="BE73">
        <v>0</v>
      </c>
      <c r="BF73">
        <v>2</v>
      </c>
      <c r="BG73">
        <v>1</v>
      </c>
      <c r="BH73">
        <v>0</v>
      </c>
      <c r="BI73">
        <v>7</v>
      </c>
      <c r="BJ73">
        <v>7</v>
      </c>
      <c r="BK73">
        <v>3.2503823101733502</v>
      </c>
      <c r="BL73">
        <v>73</v>
      </c>
      <c r="BM73">
        <v>31</v>
      </c>
      <c r="BN73">
        <v>5.2291825902608204</v>
      </c>
      <c r="BO73">
        <v>42762.151156562701</v>
      </c>
      <c r="BP73" t="s">
        <v>490</v>
      </c>
      <c r="BQ73" t="s">
        <v>855</v>
      </c>
      <c r="BR73" cm="1">
        <f t="array" ref="BR73">IF($AP73="ארצי",SUMPRODUCT(($AP$2:$AP$143="ארצי")*($BK$2:$BK$143&gt;$BK73))+1,SUMPRODUCT(($AP$2:$AP$143=$AP73)*($L$2:$L$143=$L73)*($BK$2:$BK$143&gt;$BK73))+1)</f>
        <v>19</v>
      </c>
    </row>
    <row r="74" spans="1:70" x14ac:dyDescent="0.25">
      <c r="A74">
        <v>861</v>
      </c>
      <c r="B74">
        <v>34.5769241727793</v>
      </c>
      <c r="C74">
        <v>31.676170582143701</v>
      </c>
      <c r="D74" t="s">
        <v>491</v>
      </c>
      <c r="E74" t="s">
        <v>492</v>
      </c>
      <c r="F74" t="s">
        <v>138</v>
      </c>
      <c r="G74" t="s">
        <v>139</v>
      </c>
      <c r="H74" t="s">
        <v>493</v>
      </c>
      <c r="I74" t="s">
        <v>494</v>
      </c>
      <c r="J74" t="s">
        <v>74</v>
      </c>
      <c r="K74" t="s">
        <v>275</v>
      </c>
      <c r="L74" t="s">
        <v>275</v>
      </c>
      <c r="M74" t="s">
        <v>276</v>
      </c>
      <c r="N74" t="s">
        <v>277</v>
      </c>
      <c r="O74">
        <v>9969.9888076900006</v>
      </c>
      <c r="P74">
        <v>0</v>
      </c>
      <c r="Q74">
        <v>0</v>
      </c>
      <c r="R74">
        <v>2</v>
      </c>
      <c r="S74">
        <v>0</v>
      </c>
      <c r="T74">
        <v>0</v>
      </c>
      <c r="U74">
        <v>0</v>
      </c>
      <c r="V74">
        <v>0</v>
      </c>
      <c r="W74">
        <v>2</v>
      </c>
      <c r="X74">
        <v>0</v>
      </c>
      <c r="Y74">
        <v>0</v>
      </c>
      <c r="Z74">
        <v>13948.477250669999</v>
      </c>
      <c r="AA74">
        <v>2328.17283428783</v>
      </c>
      <c r="AB74">
        <v>25270.426216967098</v>
      </c>
      <c r="AC74">
        <v>4564.9119140572602</v>
      </c>
      <c r="AD74">
        <v>16614.396933953401</v>
      </c>
      <c r="AE74">
        <v>2931.54636356742</v>
      </c>
      <c r="AF74">
        <v>55833.300401590503</v>
      </c>
      <c r="AG74">
        <v>9824.6311119125203</v>
      </c>
      <c r="AH74">
        <v>1</v>
      </c>
      <c r="AI74">
        <v>1</v>
      </c>
      <c r="AJ74">
        <v>1</v>
      </c>
      <c r="AK74">
        <v>2</v>
      </c>
      <c r="AL74">
        <v>19.8</v>
      </c>
      <c r="AM74">
        <v>0</v>
      </c>
      <c r="AN74" t="s">
        <v>143</v>
      </c>
      <c r="AO74" t="b">
        <v>0</v>
      </c>
      <c r="AP74" t="s">
        <v>143</v>
      </c>
      <c r="AQ74">
        <v>0</v>
      </c>
      <c r="AR74">
        <v>4</v>
      </c>
      <c r="AS74">
        <v>1.3054508056222101</v>
      </c>
      <c r="AT74">
        <v>1</v>
      </c>
      <c r="AU74">
        <v>5.4217140500767496</v>
      </c>
      <c r="AV74">
        <v>3.2102756755383299</v>
      </c>
      <c r="AW74">
        <v>3.20788278489916</v>
      </c>
      <c r="AX74">
        <v>75</v>
      </c>
      <c r="AY74">
        <v>13</v>
      </c>
      <c r="AZ74">
        <v>4</v>
      </c>
      <c r="BA74">
        <v>0</v>
      </c>
      <c r="BB74">
        <v>0</v>
      </c>
      <c r="BC74">
        <v>4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4</v>
      </c>
      <c r="BJ74">
        <v>4</v>
      </c>
      <c r="BK74">
        <v>3.20788278489916</v>
      </c>
      <c r="BL74">
        <v>75</v>
      </c>
      <c r="BM74">
        <v>13</v>
      </c>
      <c r="BN74">
        <v>3.9986946707729101</v>
      </c>
      <c r="BO74">
        <v>46631.566543654902</v>
      </c>
      <c r="BP74" t="s">
        <v>903</v>
      </c>
      <c r="BQ74" t="s">
        <v>856</v>
      </c>
      <c r="BR74" cm="1">
        <f t="array" ref="BR74">IF($AP74="ארצי",SUMPRODUCT(($AP$2:$AP$143="ארצי")*($BK$2:$BK$143&gt;$BK74))+1,SUMPRODUCT(($AP$2:$AP$143=$AP74)*($L$2:$L$143=$L74)*($BK$2:$BK$143&gt;$BK74))+1)</f>
        <v>1</v>
      </c>
    </row>
    <row r="75" spans="1:70" x14ac:dyDescent="0.25">
      <c r="A75">
        <v>122</v>
      </c>
      <c r="B75">
        <v>34.864039903334898</v>
      </c>
      <c r="C75">
        <v>32.146618991440903</v>
      </c>
      <c r="D75" t="s">
        <v>495</v>
      </c>
      <c r="E75" t="s">
        <v>496</v>
      </c>
      <c r="F75" t="s">
        <v>348</v>
      </c>
      <c r="G75" t="s">
        <v>349</v>
      </c>
      <c r="H75" t="s">
        <v>497</v>
      </c>
      <c r="I75" t="s">
        <v>498</v>
      </c>
      <c r="J75" t="s">
        <v>74</v>
      </c>
      <c r="K75" t="s">
        <v>94</v>
      </c>
      <c r="L75" t="s">
        <v>94</v>
      </c>
      <c r="M75" t="s">
        <v>219</v>
      </c>
      <c r="N75" t="s">
        <v>133</v>
      </c>
      <c r="O75">
        <v>8636.11</v>
      </c>
      <c r="P75">
        <v>1361.34</v>
      </c>
      <c r="Q75">
        <v>0.15763347155142701</v>
      </c>
      <c r="R75">
        <v>2</v>
      </c>
      <c r="S75">
        <v>0</v>
      </c>
      <c r="T75">
        <v>0</v>
      </c>
      <c r="U75">
        <v>0</v>
      </c>
      <c r="V75">
        <v>0</v>
      </c>
      <c r="W75">
        <v>0</v>
      </c>
      <c r="X75">
        <v>2</v>
      </c>
      <c r="Y75">
        <v>0</v>
      </c>
      <c r="Z75">
        <v>981.376795810163</v>
      </c>
      <c r="AA75">
        <v>3337.97503991143</v>
      </c>
      <c r="AB75">
        <v>12949.651742906301</v>
      </c>
      <c r="AC75">
        <v>8219.1163630995707</v>
      </c>
      <c r="AD75">
        <v>17147.535021706899</v>
      </c>
      <c r="AE75">
        <v>7197.1481198255597</v>
      </c>
      <c r="AF75">
        <v>31078.563560423401</v>
      </c>
      <c r="AG75">
        <v>18754.239522836499</v>
      </c>
      <c r="AH75">
        <v>0</v>
      </c>
      <c r="AI75">
        <v>2</v>
      </c>
      <c r="AJ75">
        <v>0</v>
      </c>
      <c r="AK75">
        <v>2</v>
      </c>
      <c r="AL75">
        <v>22</v>
      </c>
      <c r="AM75">
        <v>3</v>
      </c>
      <c r="AN75" t="s">
        <v>103</v>
      </c>
      <c r="AO75" t="b">
        <v>0</v>
      </c>
      <c r="AP75" t="s">
        <v>103</v>
      </c>
      <c r="AQ75">
        <v>3</v>
      </c>
      <c r="AR75">
        <v>1</v>
      </c>
      <c r="AS75">
        <v>1.37332876242715</v>
      </c>
      <c r="AT75">
        <v>10</v>
      </c>
      <c r="AU75">
        <v>2.1475185720118501</v>
      </c>
      <c r="AV75">
        <v>1.9878272260402301</v>
      </c>
      <c r="AW75">
        <v>3.1939323685889298</v>
      </c>
      <c r="AX75">
        <v>76</v>
      </c>
      <c r="AY75">
        <v>33</v>
      </c>
      <c r="AZ75">
        <v>4</v>
      </c>
      <c r="BA75">
        <v>0</v>
      </c>
      <c r="BB75">
        <v>0</v>
      </c>
      <c r="BC75">
        <v>2</v>
      </c>
      <c r="BD75">
        <v>0</v>
      </c>
      <c r="BE75">
        <v>0</v>
      </c>
      <c r="BF75">
        <v>2</v>
      </c>
      <c r="BG75">
        <v>0</v>
      </c>
      <c r="BH75">
        <v>0</v>
      </c>
      <c r="BI75">
        <v>4</v>
      </c>
      <c r="BJ75">
        <v>4</v>
      </c>
      <c r="BK75">
        <v>3.1939323685889298</v>
      </c>
      <c r="BL75">
        <v>76</v>
      </c>
      <c r="BM75">
        <v>33</v>
      </c>
      <c r="BN75">
        <v>3.9363181654001198</v>
      </c>
      <c r="BO75">
        <v>21219.104330353901</v>
      </c>
      <c r="BP75" t="s">
        <v>499</v>
      </c>
      <c r="BQ75" t="s">
        <v>857</v>
      </c>
      <c r="BR75" cm="1">
        <f t="array" ref="BR75">IF($AP75="ארצי",SUMPRODUCT(($AP$2:$AP$143="ארצי")*($BK$2:$BK$143&gt;$BK75))+1,SUMPRODUCT(($AP$2:$AP$143=$AP75)*($L$2:$L$143=$L75)*($BK$2:$BK$143&gt;$BK75))+1)</f>
        <v>20</v>
      </c>
    </row>
    <row r="76" spans="1:70" x14ac:dyDescent="0.25">
      <c r="A76">
        <v>320</v>
      </c>
      <c r="B76">
        <v>34.892131739994902</v>
      </c>
      <c r="C76">
        <v>31.9457298894242</v>
      </c>
      <c r="D76" t="s">
        <v>500</v>
      </c>
      <c r="E76" t="s">
        <v>501</v>
      </c>
      <c r="F76" t="s">
        <v>128</v>
      </c>
      <c r="G76" t="s">
        <v>129</v>
      </c>
      <c r="H76" t="s">
        <v>502</v>
      </c>
      <c r="I76" t="s">
        <v>503</v>
      </c>
      <c r="J76" t="s">
        <v>74</v>
      </c>
      <c r="K76" t="s">
        <v>94</v>
      </c>
      <c r="L76" t="s">
        <v>94</v>
      </c>
      <c r="M76" t="s">
        <v>219</v>
      </c>
      <c r="N76" t="s">
        <v>133</v>
      </c>
      <c r="O76">
        <v>41726.85</v>
      </c>
      <c r="P76">
        <v>13993.76</v>
      </c>
      <c r="Q76">
        <v>0.33536583758419303</v>
      </c>
      <c r="R76">
        <v>2</v>
      </c>
      <c r="S76">
        <v>0</v>
      </c>
      <c r="T76">
        <v>0</v>
      </c>
      <c r="U76">
        <v>0</v>
      </c>
      <c r="V76">
        <v>0</v>
      </c>
      <c r="W76">
        <v>2</v>
      </c>
      <c r="X76">
        <v>0</v>
      </c>
      <c r="Y76">
        <v>0</v>
      </c>
      <c r="Z76">
        <v>12662.9149095579</v>
      </c>
      <c r="AA76">
        <v>5587.5915245452497</v>
      </c>
      <c r="AB76">
        <v>21812.4499083064</v>
      </c>
      <c r="AC76">
        <v>10811.9545794594</v>
      </c>
      <c r="AD76">
        <v>14278.488399563201</v>
      </c>
      <c r="AE76">
        <v>8340.2611102395094</v>
      </c>
      <c r="AF76">
        <v>48753.853217427699</v>
      </c>
      <c r="AG76">
        <v>24739.8072142442</v>
      </c>
      <c r="AH76">
        <v>0</v>
      </c>
      <c r="AI76">
        <v>2</v>
      </c>
      <c r="AJ76">
        <v>0</v>
      </c>
      <c r="AK76">
        <v>2</v>
      </c>
      <c r="AL76">
        <v>19.8</v>
      </c>
      <c r="AM76">
        <v>0</v>
      </c>
      <c r="AN76" t="s">
        <v>143</v>
      </c>
      <c r="AO76" t="b">
        <v>0</v>
      </c>
      <c r="AP76" t="s">
        <v>143</v>
      </c>
      <c r="AQ76">
        <v>0</v>
      </c>
      <c r="AR76">
        <v>1</v>
      </c>
      <c r="AS76">
        <v>1.3054508056222101</v>
      </c>
      <c r="AT76">
        <v>1</v>
      </c>
      <c r="AU76">
        <v>8.4694274264498794</v>
      </c>
      <c r="AV76">
        <v>3.0813310428102798</v>
      </c>
      <c r="AW76">
        <v>3.1814094918072802</v>
      </c>
      <c r="AX76">
        <v>77</v>
      </c>
      <c r="AY76">
        <v>14</v>
      </c>
      <c r="AZ76">
        <v>4</v>
      </c>
      <c r="BA76">
        <v>0</v>
      </c>
      <c r="BB76">
        <v>0</v>
      </c>
      <c r="BC76">
        <v>2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2</v>
      </c>
      <c r="BJ76">
        <v>4</v>
      </c>
      <c r="BK76">
        <v>3.1814094918072802</v>
      </c>
      <c r="BL76">
        <v>77</v>
      </c>
      <c r="BM76">
        <v>14</v>
      </c>
      <c r="BN76">
        <v>4.6204156006414099</v>
      </c>
      <c r="BO76">
        <v>43951.044016790998</v>
      </c>
      <c r="BP76" t="s">
        <v>504</v>
      </c>
      <c r="BQ76" t="s">
        <v>858</v>
      </c>
      <c r="BR76" cm="1">
        <f t="array" ref="BR76">IF($AP76="ארצי",SUMPRODUCT(($AP$2:$AP$143="ארצי")*($BK$2:$BK$143&gt;$BK76))+1,SUMPRODUCT(($AP$2:$AP$143=$AP76)*($L$2:$L$143=$L76)*($BK$2:$BK$143&gt;$BK76))+1)</f>
        <v>6</v>
      </c>
    </row>
    <row r="77" spans="1:70" x14ac:dyDescent="0.25">
      <c r="A77">
        <v>148</v>
      </c>
      <c r="B77">
        <v>34.840535789667499</v>
      </c>
      <c r="C77">
        <v>32.273522848241001</v>
      </c>
      <c r="D77" t="s">
        <v>505</v>
      </c>
      <c r="E77" t="s">
        <v>506</v>
      </c>
      <c r="F77" t="s">
        <v>128</v>
      </c>
      <c r="G77" t="s">
        <v>129</v>
      </c>
      <c r="H77" t="s">
        <v>154</v>
      </c>
      <c r="I77" t="s">
        <v>155</v>
      </c>
      <c r="J77" t="s">
        <v>74</v>
      </c>
      <c r="K77" t="s">
        <v>94</v>
      </c>
      <c r="L77" t="s">
        <v>94</v>
      </c>
      <c r="M77" t="s">
        <v>132</v>
      </c>
      <c r="N77" t="s">
        <v>133</v>
      </c>
      <c r="O77">
        <v>3483.97</v>
      </c>
      <c r="P77">
        <v>1.34E-4</v>
      </c>
      <c r="Q77" s="1">
        <v>3.8461869648705303E-8</v>
      </c>
      <c r="R77">
        <v>1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0</v>
      </c>
      <c r="Z77">
        <v>5387.6895487075199</v>
      </c>
      <c r="AA77">
        <v>1379.6402937799901</v>
      </c>
      <c r="AB77">
        <v>7235.2236490369896</v>
      </c>
      <c r="AC77">
        <v>1886.88919369101</v>
      </c>
      <c r="AD77">
        <v>5517.5743409297102</v>
      </c>
      <c r="AE77">
        <v>1102.5144851499599</v>
      </c>
      <c r="AF77">
        <v>18140.487538674199</v>
      </c>
      <c r="AG77">
        <v>4369.0439726209597</v>
      </c>
      <c r="AH77">
        <v>0</v>
      </c>
      <c r="AI77">
        <v>2</v>
      </c>
      <c r="AJ77">
        <v>0</v>
      </c>
      <c r="AK77">
        <v>2</v>
      </c>
      <c r="AL77">
        <v>9.9</v>
      </c>
      <c r="AM77">
        <v>0</v>
      </c>
      <c r="AN77" t="s">
        <v>134</v>
      </c>
      <c r="AO77" t="b">
        <v>0</v>
      </c>
      <c r="AP77" t="s">
        <v>134</v>
      </c>
      <c r="AQ77">
        <v>0</v>
      </c>
      <c r="AR77">
        <v>1</v>
      </c>
      <c r="AS77">
        <v>1</v>
      </c>
      <c r="AT77">
        <v>1</v>
      </c>
      <c r="AU77">
        <v>3.71794153005956</v>
      </c>
      <c r="AV77">
        <v>1.30976014042322</v>
      </c>
      <c r="AW77">
        <v>3.16013800220954</v>
      </c>
      <c r="AX77">
        <v>78</v>
      </c>
      <c r="AY77">
        <v>18</v>
      </c>
      <c r="AZ77">
        <v>2</v>
      </c>
      <c r="BA77">
        <v>0</v>
      </c>
      <c r="BB77">
        <v>0</v>
      </c>
      <c r="BC77">
        <v>2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2</v>
      </c>
      <c r="BJ77">
        <v>2</v>
      </c>
      <c r="BK77">
        <v>3.16013800220954</v>
      </c>
      <c r="BL77">
        <v>78</v>
      </c>
      <c r="BM77">
        <v>18</v>
      </c>
      <c r="BN77">
        <v>3.5420744066999901</v>
      </c>
      <c r="BO77">
        <v>7123.3326858316104</v>
      </c>
      <c r="BP77" t="s">
        <v>507</v>
      </c>
      <c r="BQ77" t="s">
        <v>809</v>
      </c>
      <c r="BR77" cm="1">
        <f t="array" ref="BR77">IF($AP77="ארצי",SUMPRODUCT(($AP$2:$AP$143="ארצי")*($BK$2:$BK$143&gt;$BK77))+1,SUMPRODUCT(($AP$2:$AP$143=$AP77)*($L$2:$L$143=$L77)*($BK$2:$BK$143&gt;$BK77))+1)</f>
        <v>18</v>
      </c>
    </row>
    <row r="78" spans="1:70" x14ac:dyDescent="0.25">
      <c r="A78">
        <v>443</v>
      </c>
      <c r="B78">
        <v>34.860312199691499</v>
      </c>
      <c r="C78">
        <v>32.073312500452303</v>
      </c>
      <c r="D78" t="s">
        <v>508</v>
      </c>
      <c r="E78" t="s">
        <v>509</v>
      </c>
      <c r="F78" t="s">
        <v>510</v>
      </c>
      <c r="G78" t="s">
        <v>511</v>
      </c>
      <c r="H78" t="s">
        <v>512</v>
      </c>
      <c r="I78" t="s">
        <v>513</v>
      </c>
      <c r="J78" t="s">
        <v>74</v>
      </c>
      <c r="K78" t="s">
        <v>94</v>
      </c>
      <c r="L78" t="s">
        <v>94</v>
      </c>
      <c r="M78" t="s">
        <v>219</v>
      </c>
      <c r="N78" t="s">
        <v>133</v>
      </c>
      <c r="O78">
        <v>304235.95</v>
      </c>
      <c r="P78">
        <v>289117.96000000002</v>
      </c>
      <c r="Q78">
        <v>0.95030833798569803</v>
      </c>
      <c r="R78">
        <v>0</v>
      </c>
      <c r="S78">
        <v>0</v>
      </c>
      <c r="T78">
        <v>0</v>
      </c>
      <c r="U78">
        <v>0</v>
      </c>
      <c r="V78">
        <v>0</v>
      </c>
      <c r="W78">
        <v>1.5</v>
      </c>
      <c r="X78">
        <v>3.5</v>
      </c>
      <c r="Y78">
        <v>0</v>
      </c>
      <c r="Z78">
        <v>15858.9209223201</v>
      </c>
      <c r="AA78">
        <v>3098.72821749799</v>
      </c>
      <c r="AB78">
        <v>23497.9893726062</v>
      </c>
      <c r="AC78">
        <v>11411.7894617324</v>
      </c>
      <c r="AD78">
        <v>15021.418612780901</v>
      </c>
      <c r="AE78">
        <v>8687.0224010675793</v>
      </c>
      <c r="AF78">
        <v>54378.328907707401</v>
      </c>
      <c r="AG78">
        <v>23197.540080298</v>
      </c>
      <c r="AH78">
        <v>0</v>
      </c>
      <c r="AI78">
        <v>2</v>
      </c>
      <c r="AJ78">
        <v>0</v>
      </c>
      <c r="AK78">
        <v>2</v>
      </c>
      <c r="AL78">
        <v>31.35</v>
      </c>
      <c r="AM78">
        <v>0</v>
      </c>
      <c r="AN78" t="s">
        <v>103</v>
      </c>
      <c r="AO78" t="b">
        <v>0</v>
      </c>
      <c r="AP78" t="s">
        <v>103</v>
      </c>
      <c r="AQ78">
        <v>0</v>
      </c>
      <c r="AR78">
        <v>1</v>
      </c>
      <c r="AS78">
        <v>1.66181007884813</v>
      </c>
      <c r="AT78">
        <v>1</v>
      </c>
      <c r="AU78">
        <v>10</v>
      </c>
      <c r="AV78">
        <v>2.3829844139546599</v>
      </c>
      <c r="AW78">
        <v>3.1600696428307802</v>
      </c>
      <c r="AX78">
        <v>79</v>
      </c>
      <c r="AY78">
        <v>34</v>
      </c>
      <c r="AZ78">
        <v>5</v>
      </c>
      <c r="BA78">
        <v>0</v>
      </c>
      <c r="BB78">
        <v>2</v>
      </c>
      <c r="BC78">
        <v>0</v>
      </c>
      <c r="BD78">
        <v>0</v>
      </c>
      <c r="BE78">
        <v>0</v>
      </c>
      <c r="BF78">
        <v>2</v>
      </c>
      <c r="BG78">
        <v>0</v>
      </c>
      <c r="BH78">
        <v>0</v>
      </c>
      <c r="BI78">
        <v>4</v>
      </c>
      <c r="BJ78">
        <v>5</v>
      </c>
      <c r="BK78">
        <v>3.1600696428307802</v>
      </c>
      <c r="BL78">
        <v>79</v>
      </c>
      <c r="BM78">
        <v>34</v>
      </c>
      <c r="BN78">
        <v>5.4832105310981101</v>
      </c>
      <c r="BO78">
        <v>29433.697845779901</v>
      </c>
      <c r="BP78" t="s">
        <v>514</v>
      </c>
      <c r="BQ78" t="s">
        <v>859</v>
      </c>
      <c r="BR78" cm="1">
        <f t="array" ref="BR78">IF($AP78="ארצי",SUMPRODUCT(($AP$2:$AP$143="ארצי")*($BK$2:$BK$143&gt;$BK78))+1,SUMPRODUCT(($AP$2:$AP$143=$AP78)*($L$2:$L$143=$L78)*($BK$2:$BK$143&gt;$BK78))+1)</f>
        <v>21</v>
      </c>
    </row>
    <row r="79" spans="1:70" x14ac:dyDescent="0.25">
      <c r="A79">
        <v>528</v>
      </c>
      <c r="B79">
        <v>35.113779607873497</v>
      </c>
      <c r="C79">
        <v>32.819832335708</v>
      </c>
      <c r="D79" t="s">
        <v>515</v>
      </c>
      <c r="E79" t="s">
        <v>516</v>
      </c>
      <c r="F79" t="s">
        <v>138</v>
      </c>
      <c r="G79" t="s">
        <v>139</v>
      </c>
      <c r="H79" t="s">
        <v>517</v>
      </c>
      <c r="I79" t="s">
        <v>518</v>
      </c>
      <c r="J79" t="s">
        <v>74</v>
      </c>
      <c r="K79" t="s">
        <v>86</v>
      </c>
      <c r="L79" t="s">
        <v>86</v>
      </c>
      <c r="M79" t="s">
        <v>142</v>
      </c>
      <c r="N79" t="s">
        <v>133</v>
      </c>
      <c r="O79">
        <v>4554.1599439000001</v>
      </c>
      <c r="P79">
        <v>2177.0884222</v>
      </c>
      <c r="Q79">
        <v>0.47804390908932998</v>
      </c>
      <c r="R79">
        <v>2</v>
      </c>
      <c r="S79">
        <v>0</v>
      </c>
      <c r="T79">
        <v>0</v>
      </c>
      <c r="U79">
        <v>0</v>
      </c>
      <c r="V79">
        <v>0</v>
      </c>
      <c r="W79">
        <v>4</v>
      </c>
      <c r="X79">
        <v>0</v>
      </c>
      <c r="Y79">
        <v>0</v>
      </c>
      <c r="Z79">
        <v>5058.3838595561901</v>
      </c>
      <c r="AA79">
        <v>910.85371821018202</v>
      </c>
      <c r="AB79">
        <v>10529.277119337799</v>
      </c>
      <c r="AC79">
        <v>2079.9885219677199</v>
      </c>
      <c r="AD79">
        <v>8398.8369815650294</v>
      </c>
      <c r="AE79">
        <v>1849.19444127424</v>
      </c>
      <c r="AF79">
        <v>23986.497960459099</v>
      </c>
      <c r="AG79">
        <v>4840.0366814521503</v>
      </c>
      <c r="AH79">
        <v>1</v>
      </c>
      <c r="AI79">
        <v>2</v>
      </c>
      <c r="AJ79">
        <v>2</v>
      </c>
      <c r="AK79">
        <v>2</v>
      </c>
      <c r="AL79">
        <v>30.8</v>
      </c>
      <c r="AM79">
        <v>0</v>
      </c>
      <c r="AN79" t="s">
        <v>143</v>
      </c>
      <c r="AO79" t="b">
        <v>0</v>
      </c>
      <c r="AP79" t="s">
        <v>143</v>
      </c>
      <c r="AQ79">
        <v>0</v>
      </c>
      <c r="AR79">
        <v>7</v>
      </c>
      <c r="AS79">
        <v>1.6448405896468901</v>
      </c>
      <c r="AT79">
        <v>1</v>
      </c>
      <c r="AU79">
        <v>3.75360970011794</v>
      </c>
      <c r="AV79">
        <v>1.9367453467004601</v>
      </c>
      <c r="AW79">
        <v>3.1475364878922401</v>
      </c>
      <c r="AX79">
        <v>80</v>
      </c>
      <c r="AY79">
        <v>15</v>
      </c>
      <c r="AZ79">
        <v>6</v>
      </c>
      <c r="BA79">
        <v>0</v>
      </c>
      <c r="BB79">
        <v>0</v>
      </c>
      <c r="BC79">
        <v>2</v>
      </c>
      <c r="BD79">
        <v>0</v>
      </c>
      <c r="BE79">
        <v>0</v>
      </c>
      <c r="BF79">
        <v>0</v>
      </c>
      <c r="BG79">
        <v>4</v>
      </c>
      <c r="BH79">
        <v>0</v>
      </c>
      <c r="BI79">
        <v>6</v>
      </c>
      <c r="BJ79">
        <v>6</v>
      </c>
      <c r="BK79">
        <v>3.1475364878922401</v>
      </c>
      <c r="BL79">
        <v>80</v>
      </c>
      <c r="BM79">
        <v>15</v>
      </c>
      <c r="BN79">
        <v>3.6584082791410801</v>
      </c>
      <c r="BO79">
        <v>20157.205704657699</v>
      </c>
      <c r="BP79" t="s">
        <v>519</v>
      </c>
      <c r="BQ79" t="s">
        <v>860</v>
      </c>
      <c r="BR79" cm="1">
        <f t="array" ref="BR79">IF($AP79="ארצי",SUMPRODUCT(($AP$2:$AP$143="ארצי")*($BK$2:$BK$143&gt;$BK79))+1,SUMPRODUCT(($AP$2:$AP$143=$AP79)*($L$2:$L$143=$L79)*($BK$2:$BK$143&gt;$BK79))+1)</f>
        <v>7</v>
      </c>
    </row>
    <row r="80" spans="1:70" x14ac:dyDescent="0.25">
      <c r="A80">
        <v>648</v>
      </c>
      <c r="B80">
        <v>34.7533723510195</v>
      </c>
      <c r="C80">
        <v>32.015543379112401</v>
      </c>
      <c r="D80" t="s">
        <v>520</v>
      </c>
      <c r="E80" t="s">
        <v>521</v>
      </c>
      <c r="F80" t="s">
        <v>205</v>
      </c>
      <c r="G80" t="s">
        <v>206</v>
      </c>
      <c r="H80" t="s">
        <v>522</v>
      </c>
      <c r="I80" t="s">
        <v>523</v>
      </c>
      <c r="J80" t="s">
        <v>74</v>
      </c>
      <c r="K80" t="s">
        <v>94</v>
      </c>
      <c r="L80" t="s">
        <v>94</v>
      </c>
      <c r="M80" t="s">
        <v>142</v>
      </c>
      <c r="N80" t="s">
        <v>133</v>
      </c>
      <c r="O80">
        <v>166038.84999999899</v>
      </c>
      <c r="P80">
        <v>147924.20000000001</v>
      </c>
      <c r="Q80">
        <v>0.89090113548726702</v>
      </c>
      <c r="R80">
        <v>0</v>
      </c>
      <c r="S80">
        <v>0</v>
      </c>
      <c r="T80">
        <v>0</v>
      </c>
      <c r="U80">
        <v>0</v>
      </c>
      <c r="V80">
        <v>0</v>
      </c>
      <c r="W80">
        <v>4</v>
      </c>
      <c r="X80">
        <v>2</v>
      </c>
      <c r="Y80">
        <v>0</v>
      </c>
      <c r="Z80">
        <v>33629.734463954097</v>
      </c>
      <c r="AA80">
        <v>7399.9216196528796</v>
      </c>
      <c r="AB80">
        <v>57962.1005278023</v>
      </c>
      <c r="AC80">
        <v>10526.788844456099</v>
      </c>
      <c r="AD80">
        <v>37520.695903324398</v>
      </c>
      <c r="AE80">
        <v>7519.3106577374101</v>
      </c>
      <c r="AF80">
        <v>129112.530895081</v>
      </c>
      <c r="AG80">
        <v>25446.021121846399</v>
      </c>
      <c r="AH80">
        <v>0</v>
      </c>
      <c r="AI80">
        <v>2</v>
      </c>
      <c r="AJ80">
        <v>0</v>
      </c>
      <c r="AK80">
        <v>2</v>
      </c>
      <c r="AL80">
        <v>35.200000000000003</v>
      </c>
      <c r="AM80">
        <v>0</v>
      </c>
      <c r="AN80" t="s">
        <v>103</v>
      </c>
      <c r="AO80" t="b">
        <v>0</v>
      </c>
      <c r="AP80" t="s">
        <v>103</v>
      </c>
      <c r="AQ80">
        <v>0</v>
      </c>
      <c r="AR80">
        <v>1</v>
      </c>
      <c r="AS80">
        <v>1.7805965032567701</v>
      </c>
      <c r="AT80">
        <v>1</v>
      </c>
      <c r="AU80">
        <v>8.6649303752631397</v>
      </c>
      <c r="AV80">
        <v>3.1885208246865302</v>
      </c>
      <c r="AW80">
        <v>3.1405901356902799</v>
      </c>
      <c r="AX80">
        <v>81</v>
      </c>
      <c r="AY80">
        <v>35</v>
      </c>
      <c r="AZ80">
        <v>6</v>
      </c>
      <c r="BA80">
        <v>4</v>
      </c>
      <c r="BB80">
        <v>0</v>
      </c>
      <c r="BC80">
        <v>0</v>
      </c>
      <c r="BD80">
        <v>0</v>
      </c>
      <c r="BE80">
        <v>0</v>
      </c>
      <c r="BF80">
        <v>2</v>
      </c>
      <c r="BG80">
        <v>0</v>
      </c>
      <c r="BH80">
        <v>0</v>
      </c>
      <c r="BI80">
        <v>6</v>
      </c>
      <c r="BJ80">
        <v>6</v>
      </c>
      <c r="BK80">
        <v>3.1405901356902799</v>
      </c>
      <c r="BL80">
        <v>81</v>
      </c>
      <c r="BM80">
        <v>35</v>
      </c>
      <c r="BN80">
        <v>5.2202097167542698</v>
      </c>
      <c r="BO80">
        <v>46179.323076493303</v>
      </c>
      <c r="BP80" t="s">
        <v>524</v>
      </c>
      <c r="BQ80" t="s">
        <v>861</v>
      </c>
      <c r="BR80" cm="1">
        <f t="array" ref="BR80">IF($AP80="ארצי",SUMPRODUCT(($AP$2:$AP$143="ארצי")*($BK$2:$BK$143&gt;$BK80))+1,SUMPRODUCT(($AP$2:$AP$143=$AP80)*($L$2:$L$143=$L80)*($BK$2:$BK$143&gt;$BK80))+1)</f>
        <v>22</v>
      </c>
    </row>
    <row r="81" spans="1:70" x14ac:dyDescent="0.25">
      <c r="A81">
        <v>6</v>
      </c>
      <c r="B81">
        <v>34.981699063194299</v>
      </c>
      <c r="C81">
        <v>32.282516058942697</v>
      </c>
      <c r="D81" t="s">
        <v>525</v>
      </c>
      <c r="E81" t="s">
        <v>526</v>
      </c>
      <c r="F81" t="s">
        <v>128</v>
      </c>
      <c r="G81" t="s">
        <v>129</v>
      </c>
      <c r="H81" t="s">
        <v>154</v>
      </c>
      <c r="I81" t="s">
        <v>155</v>
      </c>
      <c r="J81" t="s">
        <v>74</v>
      </c>
      <c r="K81" t="s">
        <v>94</v>
      </c>
      <c r="L81" t="s">
        <v>94</v>
      </c>
      <c r="M81" t="s">
        <v>132</v>
      </c>
      <c r="N81" t="s">
        <v>133</v>
      </c>
      <c r="O81">
        <v>5042.16</v>
      </c>
      <c r="P81">
        <v>10.300146</v>
      </c>
      <c r="Q81">
        <v>2.0428042743586001E-3</v>
      </c>
      <c r="R81">
        <v>1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3937.5776712963502</v>
      </c>
      <c r="AA81">
        <v>1052.50489999652</v>
      </c>
      <c r="AB81">
        <v>5100.1871140564699</v>
      </c>
      <c r="AC81">
        <v>1397.29495959262</v>
      </c>
      <c r="AD81">
        <v>2917.2393167026798</v>
      </c>
      <c r="AE81">
        <v>858.03859876548495</v>
      </c>
      <c r="AF81">
        <v>11955.0041020555</v>
      </c>
      <c r="AG81">
        <v>3307.8384583546299</v>
      </c>
      <c r="AH81">
        <v>0</v>
      </c>
      <c r="AI81">
        <v>2</v>
      </c>
      <c r="AJ81">
        <v>0</v>
      </c>
      <c r="AK81">
        <v>2</v>
      </c>
      <c r="AL81">
        <v>9.9</v>
      </c>
      <c r="AM81">
        <v>0</v>
      </c>
      <c r="AN81" t="s">
        <v>134</v>
      </c>
      <c r="AO81" t="b">
        <v>0</v>
      </c>
      <c r="AP81" t="s">
        <v>134</v>
      </c>
      <c r="AQ81">
        <v>0</v>
      </c>
      <c r="AR81">
        <v>1</v>
      </c>
      <c r="AS81">
        <v>1</v>
      </c>
      <c r="AT81">
        <v>1</v>
      </c>
      <c r="AU81">
        <v>4.70046451026555</v>
      </c>
      <c r="AV81">
        <v>1.20941165257089</v>
      </c>
      <c r="AW81">
        <v>3.1275241057001599</v>
      </c>
      <c r="AX81">
        <v>82</v>
      </c>
      <c r="AY81">
        <v>19</v>
      </c>
      <c r="AZ81">
        <v>2</v>
      </c>
      <c r="BA81">
        <v>0</v>
      </c>
      <c r="BB81">
        <v>0</v>
      </c>
      <c r="BC81">
        <v>2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2</v>
      </c>
      <c r="BJ81">
        <v>2</v>
      </c>
      <c r="BK81">
        <v>3.1275241057001599</v>
      </c>
      <c r="BL81">
        <v>82</v>
      </c>
      <c r="BM81">
        <v>19</v>
      </c>
      <c r="BN81">
        <v>3.7026166227792601</v>
      </c>
      <c r="BO81">
        <v>5037.2715870948005</v>
      </c>
      <c r="BP81" t="s">
        <v>527</v>
      </c>
      <c r="BQ81" t="s">
        <v>809</v>
      </c>
      <c r="BR81" cm="1">
        <f t="array" ref="BR81">IF($AP81="ארצי",SUMPRODUCT(($AP$2:$AP$143="ארצי")*($BK$2:$BK$143&gt;$BK81))+1,SUMPRODUCT(($AP$2:$AP$143=$AP81)*($L$2:$L$143=$L81)*($BK$2:$BK$143&gt;$BK81))+1)</f>
        <v>19</v>
      </c>
    </row>
    <row r="82" spans="1:70" x14ac:dyDescent="0.25">
      <c r="A82">
        <v>329</v>
      </c>
      <c r="B82">
        <v>34.886606217865697</v>
      </c>
      <c r="C82">
        <v>31.938277043926501</v>
      </c>
      <c r="D82" t="s">
        <v>528</v>
      </c>
      <c r="E82" t="s">
        <v>529</v>
      </c>
      <c r="F82" t="s">
        <v>460</v>
      </c>
      <c r="G82" t="s">
        <v>461</v>
      </c>
      <c r="H82" t="s">
        <v>462</v>
      </c>
      <c r="I82" t="s">
        <v>463</v>
      </c>
      <c r="J82" t="s">
        <v>74</v>
      </c>
      <c r="K82" t="s">
        <v>94</v>
      </c>
      <c r="L82" t="s">
        <v>94</v>
      </c>
      <c r="M82" t="s">
        <v>219</v>
      </c>
      <c r="N82" t="s">
        <v>133</v>
      </c>
      <c r="O82">
        <v>22876.73</v>
      </c>
      <c r="P82">
        <v>2537.3000141000002</v>
      </c>
      <c r="Q82">
        <v>0.110911831109603</v>
      </c>
      <c r="R82">
        <v>10</v>
      </c>
      <c r="S82">
        <v>0</v>
      </c>
      <c r="T82">
        <v>0</v>
      </c>
      <c r="U82">
        <v>0</v>
      </c>
      <c r="V82">
        <v>0</v>
      </c>
      <c r="W82">
        <v>2</v>
      </c>
      <c r="X82">
        <v>0</v>
      </c>
      <c r="Y82">
        <v>0</v>
      </c>
      <c r="Z82">
        <v>8701.1872099501597</v>
      </c>
      <c r="AA82">
        <v>6118.7864330988996</v>
      </c>
      <c r="AB82">
        <v>15118.854097809201</v>
      </c>
      <c r="AC82">
        <v>7394.9266312421996</v>
      </c>
      <c r="AD82">
        <v>9978.0181633446591</v>
      </c>
      <c r="AE82">
        <v>3687.7427475382301</v>
      </c>
      <c r="AF82">
        <v>33798.059471104098</v>
      </c>
      <c r="AG82">
        <v>17201.455811879299</v>
      </c>
      <c r="AH82">
        <v>0</v>
      </c>
      <c r="AI82">
        <v>2</v>
      </c>
      <c r="AJ82">
        <v>0</v>
      </c>
      <c r="AK82">
        <v>2</v>
      </c>
      <c r="AL82">
        <v>55</v>
      </c>
      <c r="AM82">
        <v>0</v>
      </c>
      <c r="AN82" t="s">
        <v>143</v>
      </c>
      <c r="AO82" t="b">
        <v>0</v>
      </c>
      <c r="AP82" t="s">
        <v>143</v>
      </c>
      <c r="AQ82">
        <v>0</v>
      </c>
      <c r="AR82">
        <v>1</v>
      </c>
      <c r="AS82">
        <v>2.3914981145012</v>
      </c>
      <c r="AT82">
        <v>1</v>
      </c>
      <c r="AU82">
        <v>7.1898835851026899</v>
      </c>
      <c r="AV82">
        <v>2.4332553640567398</v>
      </c>
      <c r="AW82">
        <v>3.07956408778595</v>
      </c>
      <c r="AX82">
        <v>83</v>
      </c>
      <c r="AY82">
        <v>16</v>
      </c>
      <c r="AZ82">
        <v>12</v>
      </c>
      <c r="BA82">
        <v>0</v>
      </c>
      <c r="BB82">
        <v>0</v>
      </c>
      <c r="BC82">
        <v>2</v>
      </c>
      <c r="BD82">
        <v>0</v>
      </c>
      <c r="BE82">
        <v>0</v>
      </c>
      <c r="BF82">
        <v>4</v>
      </c>
      <c r="BG82">
        <v>0</v>
      </c>
      <c r="BH82">
        <v>0</v>
      </c>
      <c r="BI82">
        <v>6</v>
      </c>
      <c r="BJ82">
        <v>12</v>
      </c>
      <c r="BK82">
        <v>3.07956408778595</v>
      </c>
      <c r="BL82">
        <v>83</v>
      </c>
      <c r="BM82">
        <v>16</v>
      </c>
      <c r="BN82">
        <v>4.3593939464999796</v>
      </c>
      <c r="BO82">
        <v>30478.738739259101</v>
      </c>
      <c r="BP82" t="s">
        <v>530</v>
      </c>
      <c r="BQ82" t="s">
        <v>851</v>
      </c>
      <c r="BR82" cm="1">
        <f t="array" ref="BR82">IF($AP82="ארצי",SUMPRODUCT(($AP$2:$AP$143="ארצי")*($BK$2:$BK$143&gt;$BK82))+1,SUMPRODUCT(($AP$2:$AP$143=$AP82)*($L$2:$L$143=$L82)*($BK$2:$BK$143&gt;$BK82))+1)</f>
        <v>7</v>
      </c>
    </row>
    <row r="83" spans="1:70" x14ac:dyDescent="0.25">
      <c r="A83">
        <v>404</v>
      </c>
      <c r="B83">
        <v>34.731216226483603</v>
      </c>
      <c r="C83">
        <v>31.890307907393002</v>
      </c>
      <c r="D83" t="s">
        <v>531</v>
      </c>
      <c r="E83" t="s">
        <v>532</v>
      </c>
      <c r="F83" t="s">
        <v>121</v>
      </c>
      <c r="G83" t="s">
        <v>122</v>
      </c>
      <c r="H83" t="s">
        <v>533</v>
      </c>
      <c r="I83" t="s">
        <v>534</v>
      </c>
      <c r="J83" t="s">
        <v>74</v>
      </c>
      <c r="K83" t="s">
        <v>94</v>
      </c>
      <c r="L83" t="s">
        <v>94</v>
      </c>
      <c r="M83" t="s">
        <v>132</v>
      </c>
      <c r="N83" t="s">
        <v>133</v>
      </c>
      <c r="O83">
        <v>5131.7299999999996</v>
      </c>
      <c r="P83">
        <v>4213.2199999999903</v>
      </c>
      <c r="Q83">
        <v>0.82101357631831695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4</v>
      </c>
      <c r="Z83">
        <v>131.45931636435699</v>
      </c>
      <c r="AA83">
        <v>5034.6908131383498</v>
      </c>
      <c r="AB83">
        <v>1646.4281703689901</v>
      </c>
      <c r="AC83">
        <v>5595.4687360401404</v>
      </c>
      <c r="AD83">
        <v>1420.0671536705499</v>
      </c>
      <c r="AE83">
        <v>2170.9791345639001</v>
      </c>
      <c r="AF83">
        <v>3197.9546404039002</v>
      </c>
      <c r="AG83">
        <v>12801.1386837424</v>
      </c>
      <c r="AH83">
        <v>0</v>
      </c>
      <c r="AI83">
        <v>2</v>
      </c>
      <c r="AJ83">
        <v>0</v>
      </c>
      <c r="AK83">
        <v>2</v>
      </c>
      <c r="AL83">
        <v>31.9</v>
      </c>
      <c r="AM83">
        <v>3</v>
      </c>
      <c r="AN83" t="s">
        <v>103</v>
      </c>
      <c r="AO83" t="b">
        <v>0</v>
      </c>
      <c r="AP83" t="s">
        <v>103</v>
      </c>
      <c r="AQ83">
        <v>3</v>
      </c>
      <c r="AR83">
        <v>1</v>
      </c>
      <c r="AS83">
        <v>1.67877956804936</v>
      </c>
      <c r="AT83">
        <v>10</v>
      </c>
      <c r="AU83">
        <v>1</v>
      </c>
      <c r="AV83">
        <v>1.4904960963231599</v>
      </c>
      <c r="AW83">
        <v>3.0580366629171301</v>
      </c>
      <c r="AX83">
        <v>84</v>
      </c>
      <c r="AY83">
        <v>36</v>
      </c>
      <c r="AZ83">
        <v>5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5</v>
      </c>
      <c r="BK83">
        <v>3.0580366629171301</v>
      </c>
      <c r="BL83">
        <v>84</v>
      </c>
      <c r="BM83">
        <v>36</v>
      </c>
      <c r="BN83">
        <v>3.7102637984053799</v>
      </c>
      <c r="BO83">
        <v>10880.5018750747</v>
      </c>
      <c r="BP83" t="s">
        <v>535</v>
      </c>
      <c r="BQ83" t="s">
        <v>862</v>
      </c>
      <c r="BR83" cm="1">
        <f t="array" ref="BR83">IF($AP83="ארצי",SUMPRODUCT(($AP$2:$AP$143="ארצי")*($BK$2:$BK$143&gt;$BK83))+1,SUMPRODUCT(($AP$2:$AP$143=$AP83)*($L$2:$L$143=$L83)*($BK$2:$BK$143&gt;$BK83))+1)</f>
        <v>23</v>
      </c>
    </row>
    <row r="84" spans="1:70" x14ac:dyDescent="0.25">
      <c r="A84">
        <v>726</v>
      </c>
      <c r="B84">
        <v>34.805732035904398</v>
      </c>
      <c r="C84">
        <v>32.021390087815703</v>
      </c>
      <c r="D84" t="s">
        <v>536</v>
      </c>
      <c r="E84" t="s">
        <v>537</v>
      </c>
      <c r="F84" t="s">
        <v>538</v>
      </c>
      <c r="G84" t="s">
        <v>539</v>
      </c>
      <c r="H84" t="s">
        <v>540</v>
      </c>
      <c r="I84" t="s">
        <v>541</v>
      </c>
      <c r="J84" t="s">
        <v>74</v>
      </c>
      <c r="K84" t="s">
        <v>94</v>
      </c>
      <c r="L84" t="s">
        <v>94</v>
      </c>
      <c r="M84" t="s">
        <v>142</v>
      </c>
      <c r="N84" t="s">
        <v>133</v>
      </c>
      <c r="O84">
        <v>15047</v>
      </c>
      <c r="P84">
        <v>6950.78</v>
      </c>
      <c r="Q84">
        <v>0.46193792782614401</v>
      </c>
      <c r="R84">
        <v>2</v>
      </c>
      <c r="S84">
        <v>0</v>
      </c>
      <c r="T84">
        <v>0</v>
      </c>
      <c r="U84">
        <v>0</v>
      </c>
      <c r="V84">
        <v>0</v>
      </c>
      <c r="W84">
        <v>0</v>
      </c>
      <c r="X84">
        <v>2</v>
      </c>
      <c r="Y84">
        <v>0</v>
      </c>
      <c r="Z84">
        <v>8438.6812657113696</v>
      </c>
      <c r="AA84">
        <v>9925.4398132411407</v>
      </c>
      <c r="AB84">
        <v>12457.3267451131</v>
      </c>
      <c r="AC84">
        <v>17644.232828334902</v>
      </c>
      <c r="AD84">
        <v>7180.3394172139797</v>
      </c>
      <c r="AE84">
        <v>9313.7096047639097</v>
      </c>
      <c r="AF84">
        <v>28076.347428038502</v>
      </c>
      <c r="AG84">
        <v>36883.382246339897</v>
      </c>
      <c r="AH84">
        <v>0</v>
      </c>
      <c r="AI84">
        <v>2</v>
      </c>
      <c r="AJ84">
        <v>0</v>
      </c>
      <c r="AK84">
        <v>2</v>
      </c>
      <c r="AL84">
        <v>22</v>
      </c>
      <c r="AM84">
        <v>2</v>
      </c>
      <c r="AN84" t="s">
        <v>103</v>
      </c>
      <c r="AO84" t="b">
        <v>0</v>
      </c>
      <c r="AP84" t="s">
        <v>103</v>
      </c>
      <c r="AQ84">
        <v>2</v>
      </c>
      <c r="AR84">
        <v>1</v>
      </c>
      <c r="AS84">
        <v>1.37332876242715</v>
      </c>
      <c r="AT84">
        <v>7</v>
      </c>
      <c r="AU84">
        <v>3.3715744108746799</v>
      </c>
      <c r="AV84">
        <v>2.6566149608370302</v>
      </c>
      <c r="AW84">
        <v>3.0416126299715098</v>
      </c>
      <c r="AX84">
        <v>85</v>
      </c>
      <c r="AY84">
        <v>37</v>
      </c>
      <c r="AZ84">
        <v>4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4</v>
      </c>
      <c r="BG84">
        <v>0</v>
      </c>
      <c r="BH84">
        <v>0</v>
      </c>
      <c r="BI84">
        <v>4</v>
      </c>
      <c r="BJ84">
        <v>4</v>
      </c>
      <c r="BK84">
        <v>3.0416126299715098</v>
      </c>
      <c r="BL84">
        <v>85</v>
      </c>
      <c r="BM84">
        <v>37</v>
      </c>
      <c r="BN84">
        <v>4.1774499209718199</v>
      </c>
      <c r="BO84">
        <v>35121.975282679603</v>
      </c>
      <c r="BP84" t="s">
        <v>542</v>
      </c>
      <c r="BQ84" t="s">
        <v>863</v>
      </c>
      <c r="BR84" cm="1">
        <f t="array" ref="BR84">IF($AP84="ארצי",SUMPRODUCT(($AP$2:$AP$143="ארצי")*($BK$2:$BK$143&gt;$BK84))+1,SUMPRODUCT(($AP$2:$AP$143=$AP84)*($L$2:$L$143=$L84)*($BK$2:$BK$143&gt;$BK84))+1)</f>
        <v>24</v>
      </c>
    </row>
    <row r="85" spans="1:70" x14ac:dyDescent="0.25">
      <c r="A85">
        <v>541</v>
      </c>
      <c r="B85">
        <v>35.073087596915698</v>
      </c>
      <c r="C85">
        <v>32.808271520176497</v>
      </c>
      <c r="D85" t="s">
        <v>543</v>
      </c>
      <c r="E85" t="s">
        <v>544</v>
      </c>
      <c r="F85" t="s">
        <v>138</v>
      </c>
      <c r="G85" t="s">
        <v>139</v>
      </c>
      <c r="H85" t="s">
        <v>545</v>
      </c>
      <c r="I85" t="s">
        <v>546</v>
      </c>
      <c r="J85" t="s">
        <v>74</v>
      </c>
      <c r="K85" t="s">
        <v>86</v>
      </c>
      <c r="L85" t="s">
        <v>86</v>
      </c>
      <c r="M85" t="s">
        <v>142</v>
      </c>
      <c r="N85" t="s">
        <v>133</v>
      </c>
      <c r="O85">
        <v>3927.1955895000001</v>
      </c>
      <c r="P85">
        <v>2126.6278948999998</v>
      </c>
      <c r="Q85">
        <v>0.54151310940200803</v>
      </c>
      <c r="R85">
        <v>2</v>
      </c>
      <c r="S85">
        <v>0</v>
      </c>
      <c r="T85">
        <v>0</v>
      </c>
      <c r="U85">
        <v>0</v>
      </c>
      <c r="V85">
        <v>0</v>
      </c>
      <c r="W85">
        <v>6</v>
      </c>
      <c r="X85">
        <v>0</v>
      </c>
      <c r="Y85">
        <v>0</v>
      </c>
      <c r="Z85">
        <v>230.139981671687</v>
      </c>
      <c r="AA85">
        <v>6787.1154026177701</v>
      </c>
      <c r="AB85">
        <v>4335.8960000213301</v>
      </c>
      <c r="AC85">
        <v>8534.3623378133507</v>
      </c>
      <c r="AD85">
        <v>4366.4249493458701</v>
      </c>
      <c r="AE85">
        <v>3846.3171762861998</v>
      </c>
      <c r="AF85">
        <v>8932.4609310389005</v>
      </c>
      <c r="AG85">
        <v>19167.794916717299</v>
      </c>
      <c r="AH85">
        <v>1</v>
      </c>
      <c r="AI85">
        <v>2</v>
      </c>
      <c r="AJ85">
        <v>2</v>
      </c>
      <c r="AK85">
        <v>2</v>
      </c>
      <c r="AL85">
        <v>41.8</v>
      </c>
      <c r="AM85">
        <v>0</v>
      </c>
      <c r="AN85" t="s">
        <v>143</v>
      </c>
      <c r="AO85" t="b">
        <v>0</v>
      </c>
      <c r="AP85" t="s">
        <v>143</v>
      </c>
      <c r="AQ85">
        <v>0</v>
      </c>
      <c r="AR85">
        <v>7</v>
      </c>
      <c r="AS85">
        <v>1.9842303736715801</v>
      </c>
      <c r="AT85">
        <v>1</v>
      </c>
      <c r="AU85">
        <v>3.4382810171549298</v>
      </c>
      <c r="AV85">
        <v>1.4952596646687299</v>
      </c>
      <c r="AW85">
        <v>3.03913335590744</v>
      </c>
      <c r="AX85">
        <v>86</v>
      </c>
      <c r="AY85">
        <v>17</v>
      </c>
      <c r="AZ85">
        <v>8</v>
      </c>
      <c r="BA85">
        <v>2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4</v>
      </c>
      <c r="BH85">
        <v>0</v>
      </c>
      <c r="BI85">
        <v>6</v>
      </c>
      <c r="BJ85">
        <v>8</v>
      </c>
      <c r="BK85">
        <v>3.03913335590744</v>
      </c>
      <c r="BL85">
        <v>86</v>
      </c>
      <c r="BM85">
        <v>17</v>
      </c>
      <c r="BN85">
        <v>3.5940825313507001</v>
      </c>
      <c r="BO85">
        <v>10979.5277281745</v>
      </c>
      <c r="BP85" t="s">
        <v>547</v>
      </c>
      <c r="BQ85" t="s">
        <v>864</v>
      </c>
      <c r="BR85" cm="1">
        <f t="array" ref="BR85">IF($AP85="ארצי",SUMPRODUCT(($AP$2:$AP$143="ארצי")*($BK$2:$BK$143&gt;$BK85))+1,SUMPRODUCT(($AP$2:$AP$143=$AP85)*($L$2:$L$143=$L85)*($BK$2:$BK$143&gt;$BK85))+1)</f>
        <v>8</v>
      </c>
    </row>
    <row r="86" spans="1:70" x14ac:dyDescent="0.25">
      <c r="A86">
        <v>29</v>
      </c>
      <c r="B86">
        <v>34.874881614635498</v>
      </c>
      <c r="C86">
        <v>32.3214204732529</v>
      </c>
      <c r="D86" t="s">
        <v>548</v>
      </c>
      <c r="E86" t="s">
        <v>549</v>
      </c>
      <c r="F86" t="s">
        <v>128</v>
      </c>
      <c r="G86" t="s">
        <v>129</v>
      </c>
      <c r="H86" t="s">
        <v>154</v>
      </c>
      <c r="I86" t="s">
        <v>155</v>
      </c>
      <c r="J86" t="s">
        <v>74</v>
      </c>
      <c r="K86" t="s">
        <v>94</v>
      </c>
      <c r="L86" t="s">
        <v>94</v>
      </c>
      <c r="M86" t="s">
        <v>132</v>
      </c>
      <c r="N86" t="s">
        <v>133</v>
      </c>
      <c r="O86">
        <v>4073.1</v>
      </c>
      <c r="P86">
        <v>0.28263059999999901</v>
      </c>
      <c r="Q86" s="1">
        <v>6.9389555866538897E-5</v>
      </c>
      <c r="R86">
        <v>1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1219.0041613436499</v>
      </c>
      <c r="AA86">
        <v>6939.9333116100997</v>
      </c>
      <c r="AB86">
        <v>7241.0204211147502</v>
      </c>
      <c r="AC86">
        <v>8536.8435706152304</v>
      </c>
      <c r="AD86">
        <v>8925.1187158038192</v>
      </c>
      <c r="AE86">
        <v>4728.3506271400902</v>
      </c>
      <c r="AF86">
        <v>17385.143298262199</v>
      </c>
      <c r="AG86">
        <v>20205.1275093654</v>
      </c>
      <c r="AH86">
        <v>0</v>
      </c>
      <c r="AI86">
        <v>2</v>
      </c>
      <c r="AJ86">
        <v>0</v>
      </c>
      <c r="AK86">
        <v>2</v>
      </c>
      <c r="AL86">
        <v>9.9</v>
      </c>
      <c r="AM86">
        <v>0</v>
      </c>
      <c r="AN86" t="s">
        <v>134</v>
      </c>
      <c r="AO86" t="b">
        <v>0</v>
      </c>
      <c r="AP86" t="s">
        <v>134</v>
      </c>
      <c r="AQ86">
        <v>0</v>
      </c>
      <c r="AR86">
        <v>1</v>
      </c>
      <c r="AS86">
        <v>1</v>
      </c>
      <c r="AT86">
        <v>1</v>
      </c>
      <c r="AU86">
        <v>4.1331895577537701</v>
      </c>
      <c r="AV86">
        <v>1.9119199234834101</v>
      </c>
      <c r="AW86">
        <v>3.0279555898540398</v>
      </c>
      <c r="AX86">
        <v>87</v>
      </c>
      <c r="AY86">
        <v>20</v>
      </c>
      <c r="AZ86">
        <v>2</v>
      </c>
      <c r="BA86">
        <v>0</v>
      </c>
      <c r="BB86">
        <v>0</v>
      </c>
      <c r="BC86">
        <v>2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2</v>
      </c>
      <c r="BJ86">
        <v>2</v>
      </c>
      <c r="BK86">
        <v>3.0279555898540398</v>
      </c>
      <c r="BL86">
        <v>87</v>
      </c>
      <c r="BM86">
        <v>20</v>
      </c>
      <c r="BN86">
        <v>3.6099250727216599</v>
      </c>
      <c r="BO86">
        <v>19641.130667144698</v>
      </c>
      <c r="BP86" t="s">
        <v>550</v>
      </c>
      <c r="BQ86" t="s">
        <v>809</v>
      </c>
      <c r="BR86" cm="1">
        <f t="array" ref="BR86">IF($AP86="ארצי",SUMPRODUCT(($AP$2:$AP$143="ארצי")*($BK$2:$BK$143&gt;$BK86))+1,SUMPRODUCT(($AP$2:$AP$143=$AP86)*($L$2:$L$143=$L86)*($BK$2:$BK$143&gt;$BK86))+1)</f>
        <v>20</v>
      </c>
    </row>
    <row r="87" spans="1:70" x14ac:dyDescent="0.25">
      <c r="A87">
        <v>605</v>
      </c>
      <c r="B87">
        <v>34.839919723808698</v>
      </c>
      <c r="C87">
        <v>32.110888762759899</v>
      </c>
      <c r="D87" t="s">
        <v>551</v>
      </c>
      <c r="E87" t="s">
        <v>552</v>
      </c>
      <c r="F87" t="s">
        <v>205</v>
      </c>
      <c r="G87" t="s">
        <v>206</v>
      </c>
      <c r="H87" t="s">
        <v>553</v>
      </c>
      <c r="I87" t="s">
        <v>554</v>
      </c>
      <c r="J87" t="s">
        <v>74</v>
      </c>
      <c r="K87" t="s">
        <v>94</v>
      </c>
      <c r="L87" t="s">
        <v>94</v>
      </c>
      <c r="M87" t="s">
        <v>76</v>
      </c>
      <c r="N87" t="s">
        <v>77</v>
      </c>
      <c r="O87">
        <v>102808.6</v>
      </c>
      <c r="P87">
        <v>54099.03</v>
      </c>
      <c r="Q87">
        <v>0.52621113408800402</v>
      </c>
      <c r="R87">
        <v>0</v>
      </c>
      <c r="S87">
        <v>0</v>
      </c>
      <c r="T87">
        <v>0</v>
      </c>
      <c r="U87">
        <v>0</v>
      </c>
      <c r="V87">
        <v>0</v>
      </c>
      <c r="W87">
        <v>2</v>
      </c>
      <c r="X87">
        <v>2</v>
      </c>
      <c r="Y87">
        <v>0</v>
      </c>
      <c r="Z87">
        <v>7187.0512254525902</v>
      </c>
      <c r="AA87">
        <v>21093.430463136399</v>
      </c>
      <c r="AB87">
        <v>16389.869465455798</v>
      </c>
      <c r="AC87">
        <v>32632.2412208643</v>
      </c>
      <c r="AD87">
        <v>12755.7528926164</v>
      </c>
      <c r="AE87">
        <v>15554.525731990399</v>
      </c>
      <c r="AF87">
        <v>36332.673583524796</v>
      </c>
      <c r="AG87">
        <v>69280.197415991104</v>
      </c>
      <c r="AH87">
        <v>0</v>
      </c>
      <c r="AI87">
        <v>3</v>
      </c>
      <c r="AJ87">
        <v>0</v>
      </c>
      <c r="AK87">
        <v>2</v>
      </c>
      <c r="AL87">
        <v>24.2</v>
      </c>
      <c r="AM87">
        <v>0</v>
      </c>
      <c r="AN87" t="s">
        <v>103</v>
      </c>
      <c r="AO87" t="b">
        <v>0</v>
      </c>
      <c r="AP87" t="s">
        <v>103</v>
      </c>
      <c r="AQ87">
        <v>0</v>
      </c>
      <c r="AR87">
        <v>1</v>
      </c>
      <c r="AS87">
        <v>1.4412067192320801</v>
      </c>
      <c r="AT87">
        <v>1</v>
      </c>
      <c r="AU87">
        <v>7.6081459780079896</v>
      </c>
      <c r="AV87">
        <v>3.9827885333481898</v>
      </c>
      <c r="AW87">
        <v>3.0033841172548801</v>
      </c>
      <c r="AX87">
        <v>88</v>
      </c>
      <c r="AY87">
        <v>38</v>
      </c>
      <c r="AZ87">
        <v>4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2</v>
      </c>
      <c r="BG87">
        <v>2</v>
      </c>
      <c r="BH87">
        <v>0</v>
      </c>
      <c r="BI87">
        <v>4</v>
      </c>
      <c r="BJ87">
        <v>4</v>
      </c>
      <c r="BK87">
        <v>3.0033841172548801</v>
      </c>
      <c r="BL87">
        <v>88</v>
      </c>
      <c r="BM87">
        <v>38</v>
      </c>
      <c r="BN87">
        <v>5.0120294451682499</v>
      </c>
      <c r="BO87">
        <v>62690.692649497898</v>
      </c>
      <c r="BP87" t="s">
        <v>555</v>
      </c>
      <c r="BQ87" t="s">
        <v>865</v>
      </c>
      <c r="BR87" cm="1">
        <f t="array" ref="BR87">IF($AP87="ארצי",SUMPRODUCT(($AP$2:$AP$143="ארצי")*($BK$2:$BK$143&gt;$BK87))+1,SUMPRODUCT(($AP$2:$AP$143=$AP87)*($L$2:$L$143=$L87)*($BK$2:$BK$143&gt;$BK87))+1)</f>
        <v>25</v>
      </c>
    </row>
    <row r="88" spans="1:70" x14ac:dyDescent="0.25">
      <c r="A88">
        <v>206</v>
      </c>
      <c r="B88">
        <v>35.208848953944198</v>
      </c>
      <c r="C88">
        <v>32.647986361107698</v>
      </c>
      <c r="D88" t="s">
        <v>556</v>
      </c>
      <c r="E88" t="s">
        <v>557</v>
      </c>
      <c r="F88" t="s">
        <v>372</v>
      </c>
      <c r="G88" t="s">
        <v>373</v>
      </c>
      <c r="H88" t="s">
        <v>558</v>
      </c>
      <c r="I88" t="s">
        <v>559</v>
      </c>
      <c r="J88" t="s">
        <v>74</v>
      </c>
      <c r="K88" t="s">
        <v>394</v>
      </c>
      <c r="L88" t="s">
        <v>394</v>
      </c>
      <c r="M88" t="s">
        <v>395</v>
      </c>
      <c r="N88" t="s">
        <v>277</v>
      </c>
      <c r="O88">
        <v>5437.9636114000004</v>
      </c>
      <c r="P88">
        <v>4085.5000826</v>
      </c>
      <c r="Q88">
        <v>0.75129228044764096</v>
      </c>
      <c r="R88">
        <v>1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4</v>
      </c>
      <c r="Z88">
        <v>224.52600131413999</v>
      </c>
      <c r="AA88">
        <v>157.61451021524101</v>
      </c>
      <c r="AB88">
        <v>399.15733566956499</v>
      </c>
      <c r="AC88">
        <v>280.203573715971</v>
      </c>
      <c r="AD88">
        <v>274.420668272841</v>
      </c>
      <c r="AE88">
        <v>192.639956929741</v>
      </c>
      <c r="AF88">
        <v>898.104005256547</v>
      </c>
      <c r="AG88">
        <v>630.45804086095404</v>
      </c>
      <c r="AH88">
        <v>1</v>
      </c>
      <c r="AI88">
        <v>1</v>
      </c>
      <c r="AJ88">
        <v>1</v>
      </c>
      <c r="AK88">
        <v>2</v>
      </c>
      <c r="AL88">
        <v>30.8</v>
      </c>
      <c r="AM88">
        <v>2</v>
      </c>
      <c r="AN88" t="s">
        <v>103</v>
      </c>
      <c r="AO88" t="b">
        <v>0</v>
      </c>
      <c r="AP88" t="s">
        <v>103</v>
      </c>
      <c r="AQ88">
        <v>2</v>
      </c>
      <c r="AR88">
        <v>4</v>
      </c>
      <c r="AS88">
        <v>1.6448405896468901</v>
      </c>
      <c r="AT88">
        <v>7</v>
      </c>
      <c r="AU88">
        <v>1.1277830204685499</v>
      </c>
      <c r="AV88">
        <v>1</v>
      </c>
      <c r="AW88">
        <v>2.9508934472903499</v>
      </c>
      <c r="AX88">
        <v>89</v>
      </c>
      <c r="AY88">
        <v>39</v>
      </c>
      <c r="AZ88">
        <v>5</v>
      </c>
      <c r="BA88">
        <v>1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1</v>
      </c>
      <c r="BJ88">
        <v>5</v>
      </c>
      <c r="BK88">
        <v>2.9508934472903499</v>
      </c>
      <c r="BL88">
        <v>89</v>
      </c>
      <c r="BM88">
        <v>39</v>
      </c>
      <c r="BN88">
        <v>3.73543629714242</v>
      </c>
      <c r="BO88">
        <v>683.98723374007295</v>
      </c>
      <c r="BP88" t="s">
        <v>560</v>
      </c>
      <c r="BQ88" t="s">
        <v>866</v>
      </c>
      <c r="BR88" cm="1">
        <f t="array" ref="BR88">IF($AP88="ארצי",SUMPRODUCT(($AP$2:$AP$143="ארצי")*($BK$2:$BK$143&gt;$BK88))+1,SUMPRODUCT(($AP$2:$AP$143=$AP88)*($L$2:$L$143=$L88)*($BK$2:$BK$143&gt;$BK88))+1)</f>
        <v>2</v>
      </c>
    </row>
    <row r="89" spans="1:70" x14ac:dyDescent="0.25">
      <c r="A89">
        <v>100</v>
      </c>
      <c r="B89">
        <v>34.905252527752097</v>
      </c>
      <c r="C89">
        <v>32.187121118111001</v>
      </c>
      <c r="D89" t="s">
        <v>561</v>
      </c>
      <c r="E89" t="s">
        <v>562</v>
      </c>
      <c r="F89" t="s">
        <v>460</v>
      </c>
      <c r="G89" t="s">
        <v>461</v>
      </c>
      <c r="H89" t="s">
        <v>563</v>
      </c>
      <c r="I89" t="s">
        <v>564</v>
      </c>
      <c r="J89" t="s">
        <v>74</v>
      </c>
      <c r="K89" t="s">
        <v>94</v>
      </c>
      <c r="L89" t="s">
        <v>94</v>
      </c>
      <c r="M89" t="s">
        <v>219</v>
      </c>
      <c r="N89" t="s">
        <v>133</v>
      </c>
      <c r="O89">
        <v>20150.98</v>
      </c>
      <c r="P89">
        <v>9250.6499999999905</v>
      </c>
      <c r="Q89">
        <v>0.45906700319289601</v>
      </c>
      <c r="R89">
        <v>3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14890.471788138801</v>
      </c>
      <c r="AA89">
        <v>3854.5900341367601</v>
      </c>
      <c r="AB89">
        <v>23279.198124077699</v>
      </c>
      <c r="AC89">
        <v>10596.699139922601</v>
      </c>
      <c r="AD89">
        <v>16037.9425360803</v>
      </c>
      <c r="AE89">
        <v>13007.1936191812</v>
      </c>
      <c r="AF89">
        <v>54207.612448296801</v>
      </c>
      <c r="AG89">
        <v>27458.482793240699</v>
      </c>
      <c r="AH89">
        <v>0</v>
      </c>
      <c r="AI89">
        <v>2</v>
      </c>
      <c r="AJ89">
        <v>0</v>
      </c>
      <c r="AK89">
        <v>2</v>
      </c>
      <c r="AL89">
        <v>18.7</v>
      </c>
      <c r="AM89">
        <v>0</v>
      </c>
      <c r="AN89" t="s">
        <v>143</v>
      </c>
      <c r="AO89" t="b">
        <v>0</v>
      </c>
      <c r="AP89" t="s">
        <v>143</v>
      </c>
      <c r="AQ89">
        <v>0</v>
      </c>
      <c r="AR89">
        <v>1</v>
      </c>
      <c r="AS89">
        <v>1.2715118272197401</v>
      </c>
      <c r="AT89">
        <v>1</v>
      </c>
      <c r="AU89">
        <v>6.9197909818916097</v>
      </c>
      <c r="AV89">
        <v>3.3173664065412498</v>
      </c>
      <c r="AW89">
        <v>2.9403804831664999</v>
      </c>
      <c r="AX89">
        <v>90</v>
      </c>
      <c r="AY89">
        <v>18</v>
      </c>
      <c r="AZ89">
        <v>4</v>
      </c>
      <c r="BA89">
        <v>2</v>
      </c>
      <c r="BB89">
        <v>0</v>
      </c>
      <c r="BC89">
        <v>2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4</v>
      </c>
      <c r="BJ89">
        <v>4</v>
      </c>
      <c r="BK89">
        <v>2.9403804831664999</v>
      </c>
      <c r="BL89">
        <v>90</v>
      </c>
      <c r="BM89">
        <v>18</v>
      </c>
      <c r="BN89">
        <v>4.3042961719780104</v>
      </c>
      <c r="BO89">
        <v>48857.786517285604</v>
      </c>
      <c r="BP89" t="s">
        <v>565</v>
      </c>
      <c r="BQ89" t="s">
        <v>867</v>
      </c>
      <c r="BR89" cm="1">
        <f t="array" ref="BR89">IF($AP89="ארצי",SUMPRODUCT(($AP$2:$AP$143="ארצי")*($BK$2:$BK$143&gt;$BK89))+1,SUMPRODUCT(($AP$2:$AP$143=$AP89)*($L$2:$L$143=$L89)*($BK$2:$BK$143&gt;$BK89))+1)</f>
        <v>8</v>
      </c>
    </row>
    <row r="90" spans="1:70" x14ac:dyDescent="0.25">
      <c r="A90">
        <v>424</v>
      </c>
      <c r="B90">
        <v>34.932996537492599</v>
      </c>
      <c r="C90">
        <v>32.0626076037777</v>
      </c>
      <c r="D90" t="s">
        <v>566</v>
      </c>
      <c r="E90" t="s">
        <v>567</v>
      </c>
      <c r="F90" t="s">
        <v>372</v>
      </c>
      <c r="G90" t="s">
        <v>373</v>
      </c>
      <c r="H90" t="s">
        <v>568</v>
      </c>
      <c r="I90" t="s">
        <v>569</v>
      </c>
      <c r="J90" t="s">
        <v>74</v>
      </c>
      <c r="K90" t="s">
        <v>94</v>
      </c>
      <c r="L90" t="s">
        <v>94</v>
      </c>
      <c r="M90" t="s">
        <v>132</v>
      </c>
      <c r="N90" t="s">
        <v>133</v>
      </c>
      <c r="O90">
        <v>2931.22</v>
      </c>
      <c r="P90">
        <v>2810.8</v>
      </c>
      <c r="Q90">
        <v>0.95891812965249901</v>
      </c>
      <c r="R90">
        <v>2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6</v>
      </c>
      <c r="Z90">
        <v>1212.14600766183</v>
      </c>
      <c r="AA90">
        <v>498.736847785973</v>
      </c>
      <c r="AB90">
        <v>2067.3014681888098</v>
      </c>
      <c r="AC90">
        <v>966.64078381850902</v>
      </c>
      <c r="AD90">
        <v>1246.59637360734</v>
      </c>
      <c r="AE90">
        <v>659.37398601967698</v>
      </c>
      <c r="AF90">
        <v>4526.0438494579903</v>
      </c>
      <c r="AG90">
        <v>2124.7516176241602</v>
      </c>
      <c r="AH90">
        <v>0</v>
      </c>
      <c r="AI90">
        <v>2</v>
      </c>
      <c r="AJ90">
        <v>0</v>
      </c>
      <c r="AK90">
        <v>2</v>
      </c>
      <c r="AL90">
        <v>48.4</v>
      </c>
      <c r="AM90">
        <v>2</v>
      </c>
      <c r="AN90" t="s">
        <v>143</v>
      </c>
      <c r="AO90" t="b">
        <v>0</v>
      </c>
      <c r="AP90" t="s">
        <v>143</v>
      </c>
      <c r="AQ90">
        <v>2</v>
      </c>
      <c r="AR90">
        <v>1</v>
      </c>
      <c r="AS90">
        <v>2.18786424408639</v>
      </c>
      <c r="AT90">
        <v>7</v>
      </c>
      <c r="AU90">
        <v>2.81555214258707</v>
      </c>
      <c r="AV90">
        <v>1.1617169137391901</v>
      </c>
      <c r="AW90">
        <v>2.90715125681914</v>
      </c>
      <c r="AX90">
        <v>91</v>
      </c>
      <c r="AY90">
        <v>19</v>
      </c>
      <c r="AZ90">
        <v>8</v>
      </c>
      <c r="BA90">
        <v>2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2</v>
      </c>
      <c r="BJ90">
        <v>8</v>
      </c>
      <c r="BK90">
        <v>2.90715125681914</v>
      </c>
      <c r="BL90">
        <v>91</v>
      </c>
      <c r="BM90">
        <v>19</v>
      </c>
      <c r="BN90">
        <v>3.46704841523148</v>
      </c>
      <c r="BO90">
        <v>4045.7854030912299</v>
      </c>
      <c r="BP90" t="s">
        <v>570</v>
      </c>
      <c r="BQ90" t="s">
        <v>868</v>
      </c>
      <c r="BR90" cm="1">
        <f t="array" ref="BR90">IF($AP90="ארצי",SUMPRODUCT(($AP$2:$AP$143="ארצי")*($BK$2:$BK$143&gt;$BK90))+1,SUMPRODUCT(($AP$2:$AP$143=$AP90)*($L$2:$L$143=$L90)*($BK$2:$BK$143&gt;$BK90))+1)</f>
        <v>9</v>
      </c>
    </row>
    <row r="91" spans="1:70" x14ac:dyDescent="0.25">
      <c r="A91">
        <v>302</v>
      </c>
      <c r="B91">
        <v>34.8605442755862</v>
      </c>
      <c r="C91">
        <v>31.917045446561701</v>
      </c>
      <c r="D91" t="s">
        <v>571</v>
      </c>
      <c r="E91" t="s">
        <v>572</v>
      </c>
      <c r="F91" t="s">
        <v>479</v>
      </c>
      <c r="G91" t="s">
        <v>480</v>
      </c>
      <c r="H91" t="s">
        <v>573</v>
      </c>
      <c r="I91" t="s">
        <v>574</v>
      </c>
      <c r="J91" t="s">
        <v>74</v>
      </c>
      <c r="K91" t="s">
        <v>94</v>
      </c>
      <c r="L91" t="s">
        <v>94</v>
      </c>
      <c r="M91" t="s">
        <v>132</v>
      </c>
      <c r="N91" t="s">
        <v>133</v>
      </c>
      <c r="O91">
        <v>13857.08</v>
      </c>
      <c r="P91">
        <v>10178.116900000001</v>
      </c>
      <c r="Q91">
        <v>0.73450661322587396</v>
      </c>
      <c r="R91">
        <v>0</v>
      </c>
      <c r="S91">
        <v>0</v>
      </c>
      <c r="T91">
        <v>0</v>
      </c>
      <c r="U91">
        <v>0</v>
      </c>
      <c r="V91">
        <v>0</v>
      </c>
      <c r="W91">
        <v>2</v>
      </c>
      <c r="X91">
        <v>0</v>
      </c>
      <c r="Y91">
        <v>4</v>
      </c>
      <c r="Z91">
        <v>5004.7046445788101</v>
      </c>
      <c r="AA91">
        <v>1329.6855975932599</v>
      </c>
      <c r="AB91">
        <v>10950.8261093732</v>
      </c>
      <c r="AC91">
        <v>2595.6088856330498</v>
      </c>
      <c r="AD91">
        <v>8075.8212075718902</v>
      </c>
      <c r="AE91">
        <v>1786.2246498946899</v>
      </c>
      <c r="AF91">
        <v>24031.351961523898</v>
      </c>
      <c r="AG91">
        <v>5711.5191331210099</v>
      </c>
      <c r="AH91">
        <v>0</v>
      </c>
      <c r="AI91">
        <v>2</v>
      </c>
      <c r="AJ91">
        <v>0</v>
      </c>
      <c r="AK91">
        <v>2</v>
      </c>
      <c r="AL91">
        <v>37.4</v>
      </c>
      <c r="AM91">
        <v>2</v>
      </c>
      <c r="AN91" t="s">
        <v>103</v>
      </c>
      <c r="AO91" t="b">
        <v>0</v>
      </c>
      <c r="AP91" t="s">
        <v>103</v>
      </c>
      <c r="AQ91">
        <v>2</v>
      </c>
      <c r="AR91">
        <v>1</v>
      </c>
      <c r="AS91">
        <v>1.8484744600617</v>
      </c>
      <c r="AT91">
        <v>7</v>
      </c>
      <c r="AU91">
        <v>3.18995374255941</v>
      </c>
      <c r="AV91">
        <v>1.41809836186862</v>
      </c>
      <c r="AW91">
        <v>2.9058110107709898</v>
      </c>
      <c r="AX91">
        <v>92</v>
      </c>
      <c r="AY91">
        <v>40</v>
      </c>
      <c r="AZ91">
        <v>6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6</v>
      </c>
      <c r="BK91">
        <v>2.9058110107709898</v>
      </c>
      <c r="BL91">
        <v>92</v>
      </c>
      <c r="BM91">
        <v>40</v>
      </c>
      <c r="BN91">
        <v>4.1416717242519301</v>
      </c>
      <c r="BO91">
        <v>9375.4856988015999</v>
      </c>
      <c r="BP91" t="s">
        <v>575</v>
      </c>
      <c r="BQ91" t="s">
        <v>869</v>
      </c>
      <c r="BR91" cm="1">
        <f t="array" ref="BR91">IF($AP91="ארצי",SUMPRODUCT(($AP$2:$AP$143="ארצי")*($BK$2:$BK$143&gt;$BK91))+1,SUMPRODUCT(($AP$2:$AP$143=$AP91)*($L$2:$L$143=$L91)*($BK$2:$BK$143&gt;$BK91))+1)</f>
        <v>26</v>
      </c>
    </row>
    <row r="92" spans="1:70" x14ac:dyDescent="0.25">
      <c r="A92">
        <v>856</v>
      </c>
      <c r="B92">
        <v>34.586051758896303</v>
      </c>
      <c r="C92">
        <v>31.673984559407</v>
      </c>
      <c r="D92" t="s">
        <v>576</v>
      </c>
      <c r="E92" t="s">
        <v>577</v>
      </c>
      <c r="F92" t="s">
        <v>138</v>
      </c>
      <c r="G92" t="s">
        <v>139</v>
      </c>
      <c r="H92" t="s">
        <v>578</v>
      </c>
      <c r="I92" t="s">
        <v>579</v>
      </c>
      <c r="J92" t="s">
        <v>74</v>
      </c>
      <c r="K92" t="s">
        <v>275</v>
      </c>
      <c r="L92" t="s">
        <v>275</v>
      </c>
      <c r="M92" t="s">
        <v>276</v>
      </c>
      <c r="N92" t="s">
        <v>277</v>
      </c>
      <c r="O92">
        <v>6283.1231275</v>
      </c>
      <c r="P92">
        <v>0</v>
      </c>
      <c r="Q92">
        <v>0</v>
      </c>
      <c r="R92">
        <v>2</v>
      </c>
      <c r="S92">
        <v>0</v>
      </c>
      <c r="T92">
        <v>0</v>
      </c>
      <c r="U92">
        <v>0</v>
      </c>
      <c r="V92">
        <v>0</v>
      </c>
      <c r="W92">
        <v>2</v>
      </c>
      <c r="X92">
        <v>0</v>
      </c>
      <c r="Y92">
        <v>0</v>
      </c>
      <c r="Z92">
        <v>10706.765738640001</v>
      </c>
      <c r="AA92">
        <v>2477.66045516842</v>
      </c>
      <c r="AB92">
        <v>22892.462395055401</v>
      </c>
      <c r="AC92">
        <v>5926.9134811654503</v>
      </c>
      <c r="AD92">
        <v>15713.8749619382</v>
      </c>
      <c r="AE92">
        <v>4292.2692898626901</v>
      </c>
      <c r="AF92">
        <v>49313.103095633604</v>
      </c>
      <c r="AG92">
        <v>12696.843226196501</v>
      </c>
      <c r="AH92">
        <v>1</v>
      </c>
      <c r="AI92">
        <v>1</v>
      </c>
      <c r="AJ92">
        <v>1</v>
      </c>
      <c r="AK92">
        <v>2</v>
      </c>
      <c r="AL92">
        <v>19.8</v>
      </c>
      <c r="AM92">
        <v>0</v>
      </c>
      <c r="AN92" t="s">
        <v>143</v>
      </c>
      <c r="AO92" t="b">
        <v>0</v>
      </c>
      <c r="AP92" t="s">
        <v>143</v>
      </c>
      <c r="AQ92">
        <v>0</v>
      </c>
      <c r="AR92">
        <v>4</v>
      </c>
      <c r="AS92">
        <v>1.3054508056222101</v>
      </c>
      <c r="AT92">
        <v>1</v>
      </c>
      <c r="AU92">
        <v>4.4387573650898799</v>
      </c>
      <c r="AV92">
        <v>2.9869892512282199</v>
      </c>
      <c r="AW92">
        <v>2.8880568621656999</v>
      </c>
      <c r="AX92">
        <v>93</v>
      </c>
      <c r="AY92">
        <v>20</v>
      </c>
      <c r="AZ92">
        <v>4</v>
      </c>
      <c r="BA92">
        <v>0</v>
      </c>
      <c r="BB92">
        <v>0</v>
      </c>
      <c r="BC92">
        <v>4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4</v>
      </c>
      <c r="BJ92">
        <v>4</v>
      </c>
      <c r="BK92">
        <v>2.8880568621656999</v>
      </c>
      <c r="BL92">
        <v>93</v>
      </c>
      <c r="BM92">
        <v>20</v>
      </c>
      <c r="BN92">
        <v>3.7981755704703302</v>
      </c>
      <c r="BO92">
        <v>41989.8511217462</v>
      </c>
      <c r="BP92" t="s">
        <v>904</v>
      </c>
      <c r="BQ92" t="s">
        <v>870</v>
      </c>
      <c r="BR92" cm="1">
        <f t="array" ref="BR92">IF($AP92="ארצי",SUMPRODUCT(($AP$2:$AP$143="ארצי")*($BK$2:$BK$143&gt;$BK92))+1,SUMPRODUCT(($AP$2:$AP$143=$AP92)*($L$2:$L$143=$L92)*($BK$2:$BK$143&gt;$BK92))+1)</f>
        <v>2</v>
      </c>
    </row>
    <row r="93" spans="1:70" x14ac:dyDescent="0.25">
      <c r="A93">
        <v>527</v>
      </c>
      <c r="B93">
        <v>35.108144993585903</v>
      </c>
      <c r="C93">
        <v>32.816776135437699</v>
      </c>
      <c r="D93" t="s">
        <v>580</v>
      </c>
      <c r="E93" t="s">
        <v>581</v>
      </c>
      <c r="F93" t="s">
        <v>138</v>
      </c>
      <c r="G93" t="s">
        <v>139</v>
      </c>
      <c r="H93" t="s">
        <v>582</v>
      </c>
      <c r="I93" t="s">
        <v>583</v>
      </c>
      <c r="J93" t="s">
        <v>74</v>
      </c>
      <c r="K93" t="s">
        <v>86</v>
      </c>
      <c r="L93" t="s">
        <v>86</v>
      </c>
      <c r="M93" t="s">
        <v>142</v>
      </c>
      <c r="N93" t="s">
        <v>133</v>
      </c>
      <c r="O93">
        <v>1249.3475901500001</v>
      </c>
      <c r="P93">
        <v>512.55425561000004</v>
      </c>
      <c r="Q93">
        <v>0.410257529330537</v>
      </c>
      <c r="R93">
        <v>6</v>
      </c>
      <c r="S93">
        <v>0</v>
      </c>
      <c r="T93">
        <v>0</v>
      </c>
      <c r="U93">
        <v>0</v>
      </c>
      <c r="V93">
        <v>0</v>
      </c>
      <c r="W93">
        <v>4</v>
      </c>
      <c r="X93">
        <v>0</v>
      </c>
      <c r="Y93">
        <v>0</v>
      </c>
      <c r="Z93">
        <v>7022.9407178879201</v>
      </c>
      <c r="AA93">
        <v>1618.4589906103799</v>
      </c>
      <c r="AB93">
        <v>14879.6770579194</v>
      </c>
      <c r="AC93">
        <v>3750.5519061814998</v>
      </c>
      <c r="AD93">
        <v>9652.1579827923106</v>
      </c>
      <c r="AE93">
        <v>2301.84495330359</v>
      </c>
      <c r="AF93">
        <v>31554.775758599601</v>
      </c>
      <c r="AG93">
        <v>7670.8558500954796</v>
      </c>
      <c r="AH93">
        <v>1</v>
      </c>
      <c r="AI93">
        <v>2</v>
      </c>
      <c r="AJ93">
        <v>2</v>
      </c>
      <c r="AK93">
        <v>2</v>
      </c>
      <c r="AL93">
        <v>48.4</v>
      </c>
      <c r="AM93">
        <v>0</v>
      </c>
      <c r="AN93" t="s">
        <v>143</v>
      </c>
      <c r="AO93" t="b">
        <v>0</v>
      </c>
      <c r="AP93" t="s">
        <v>143</v>
      </c>
      <c r="AQ93">
        <v>0</v>
      </c>
      <c r="AR93">
        <v>7</v>
      </c>
      <c r="AS93">
        <v>2.18786424408639</v>
      </c>
      <c r="AT93">
        <v>1</v>
      </c>
      <c r="AU93">
        <v>1</v>
      </c>
      <c r="AV93">
        <v>2.2552335593158199</v>
      </c>
      <c r="AW93">
        <v>2.8808186375609099</v>
      </c>
      <c r="AX93">
        <v>94</v>
      </c>
      <c r="AY93">
        <v>21</v>
      </c>
      <c r="AZ93">
        <v>10</v>
      </c>
      <c r="BA93">
        <v>0</v>
      </c>
      <c r="BB93">
        <v>0</v>
      </c>
      <c r="BC93">
        <v>4</v>
      </c>
      <c r="BD93">
        <v>0</v>
      </c>
      <c r="BE93">
        <v>0</v>
      </c>
      <c r="BF93">
        <v>0</v>
      </c>
      <c r="BG93">
        <v>4</v>
      </c>
      <c r="BH93">
        <v>0</v>
      </c>
      <c r="BI93">
        <v>8</v>
      </c>
      <c r="BJ93">
        <v>10</v>
      </c>
      <c r="BK93">
        <v>2.8808186375609099</v>
      </c>
      <c r="BL93">
        <v>94</v>
      </c>
      <c r="BM93">
        <v>21</v>
      </c>
      <c r="BN93">
        <v>3.09668328343643</v>
      </c>
      <c r="BO93">
        <v>26777.991776898802</v>
      </c>
      <c r="BP93" t="s">
        <v>584</v>
      </c>
      <c r="BQ93" t="s">
        <v>871</v>
      </c>
      <c r="BR93" cm="1">
        <f t="array" ref="BR93">IF($AP93="ארצי",SUMPRODUCT(($AP$2:$AP$143="ארצי")*($BK$2:$BK$143&gt;$BK93))+1,SUMPRODUCT(($AP$2:$AP$143=$AP93)*($L$2:$L$143=$L93)*($BK$2:$BK$143&gt;$BK93))+1)</f>
        <v>9</v>
      </c>
    </row>
    <row r="94" spans="1:70" x14ac:dyDescent="0.25">
      <c r="A94">
        <v>28</v>
      </c>
      <c r="B94">
        <v>34.882049547142898</v>
      </c>
      <c r="C94">
        <v>32.323599424974901</v>
      </c>
      <c r="D94" t="s">
        <v>585</v>
      </c>
      <c r="E94" t="s">
        <v>586</v>
      </c>
      <c r="F94" t="s">
        <v>587</v>
      </c>
      <c r="G94" t="s">
        <v>588</v>
      </c>
      <c r="H94" t="s">
        <v>589</v>
      </c>
      <c r="I94" t="s">
        <v>590</v>
      </c>
      <c r="J94" t="s">
        <v>74</v>
      </c>
      <c r="K94" t="s">
        <v>94</v>
      </c>
      <c r="L94" t="s">
        <v>94</v>
      </c>
      <c r="M94" t="s">
        <v>132</v>
      </c>
      <c r="N94" t="s">
        <v>133</v>
      </c>
      <c r="O94">
        <v>31779.31</v>
      </c>
      <c r="P94">
        <v>25651.5</v>
      </c>
      <c r="Q94">
        <v>0.80717611552925395</v>
      </c>
      <c r="R94">
        <v>4</v>
      </c>
      <c r="S94">
        <v>0</v>
      </c>
      <c r="T94">
        <v>0</v>
      </c>
      <c r="U94">
        <v>0</v>
      </c>
      <c r="V94">
        <v>0</v>
      </c>
      <c r="W94">
        <v>6</v>
      </c>
      <c r="X94">
        <v>0</v>
      </c>
      <c r="Y94">
        <v>0</v>
      </c>
      <c r="Z94">
        <v>2951.1317283051899</v>
      </c>
      <c r="AA94">
        <v>3084.0025911698999</v>
      </c>
      <c r="AB94">
        <v>5551.1473563545596</v>
      </c>
      <c r="AC94">
        <v>5543.8234574774297</v>
      </c>
      <c r="AD94">
        <v>3506.6427436003701</v>
      </c>
      <c r="AE94">
        <v>3380.6514941842402</v>
      </c>
      <c r="AF94">
        <v>12008.9218282601</v>
      </c>
      <c r="AG94">
        <v>12008.477542831501</v>
      </c>
      <c r="AH94">
        <v>0</v>
      </c>
      <c r="AI94">
        <v>2</v>
      </c>
      <c r="AJ94">
        <v>0</v>
      </c>
      <c r="AK94">
        <v>2</v>
      </c>
      <c r="AL94">
        <v>50.6</v>
      </c>
      <c r="AM94">
        <v>0</v>
      </c>
      <c r="AN94" t="s">
        <v>143</v>
      </c>
      <c r="AO94" t="b">
        <v>0</v>
      </c>
      <c r="AP94" t="s">
        <v>143</v>
      </c>
      <c r="AQ94">
        <v>0</v>
      </c>
      <c r="AR94">
        <v>1</v>
      </c>
      <c r="AS94">
        <v>2.2557422008913202</v>
      </c>
      <c r="AT94">
        <v>1</v>
      </c>
      <c r="AU94">
        <v>7.8896552015077797</v>
      </c>
      <c r="AV94">
        <v>1.5447736624783099</v>
      </c>
      <c r="AW94">
        <v>2.8692386012611499</v>
      </c>
      <c r="AX94">
        <v>95</v>
      </c>
      <c r="AY94">
        <v>22</v>
      </c>
      <c r="AZ94">
        <v>10</v>
      </c>
      <c r="BA94">
        <v>0</v>
      </c>
      <c r="BB94">
        <v>0</v>
      </c>
      <c r="BC94">
        <v>4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4</v>
      </c>
      <c r="BJ94">
        <v>10</v>
      </c>
      <c r="BK94">
        <v>2.8692386012611499</v>
      </c>
      <c r="BL94">
        <v>95</v>
      </c>
      <c r="BM94">
        <v>22</v>
      </c>
      <c r="BN94">
        <v>4.5021444634677801</v>
      </c>
      <c r="BO94">
        <v>12008.832971174401</v>
      </c>
      <c r="BP94" t="s">
        <v>591</v>
      </c>
      <c r="BQ94" t="s">
        <v>872</v>
      </c>
      <c r="BR94" cm="1">
        <f t="array" ref="BR94">IF($AP94="ארצי",SUMPRODUCT(($AP$2:$AP$143="ארצי")*($BK$2:$BK$143&gt;$BK94))+1,SUMPRODUCT(($AP$2:$AP$143=$AP94)*($L$2:$L$143=$L94)*($BK$2:$BK$143&gt;$BK94))+1)</f>
        <v>10</v>
      </c>
    </row>
    <row r="95" spans="1:70" x14ac:dyDescent="0.25">
      <c r="A95">
        <v>669</v>
      </c>
      <c r="B95">
        <v>34.795044085093402</v>
      </c>
      <c r="C95">
        <v>32.010859691943097</v>
      </c>
      <c r="D95" t="s">
        <v>592</v>
      </c>
      <c r="E95" t="s">
        <v>593</v>
      </c>
      <c r="F95" t="s">
        <v>594</v>
      </c>
      <c r="G95" t="s">
        <v>595</v>
      </c>
      <c r="H95" t="s">
        <v>596</v>
      </c>
      <c r="I95" t="s">
        <v>597</v>
      </c>
      <c r="J95" t="s">
        <v>74</v>
      </c>
      <c r="K95" t="s">
        <v>94</v>
      </c>
      <c r="L95" t="s">
        <v>94</v>
      </c>
      <c r="M95" t="s">
        <v>142</v>
      </c>
      <c r="N95" t="s">
        <v>133</v>
      </c>
      <c r="O95">
        <v>115098.98</v>
      </c>
      <c r="P95">
        <v>106247.7</v>
      </c>
      <c r="Q95">
        <v>0.92309853658129704</v>
      </c>
      <c r="R95">
        <v>2</v>
      </c>
      <c r="S95">
        <v>0</v>
      </c>
      <c r="T95">
        <v>0</v>
      </c>
      <c r="U95">
        <v>0</v>
      </c>
      <c r="V95">
        <v>0</v>
      </c>
      <c r="W95">
        <v>2</v>
      </c>
      <c r="X95">
        <v>2</v>
      </c>
      <c r="Y95">
        <v>0</v>
      </c>
      <c r="Z95">
        <v>17454.208476471402</v>
      </c>
      <c r="AA95">
        <v>6435.9747201846103</v>
      </c>
      <c r="AB95">
        <v>24363.673385693401</v>
      </c>
      <c r="AC95">
        <v>12854.3453525123</v>
      </c>
      <c r="AD95">
        <v>15300.167656351499</v>
      </c>
      <c r="AE95">
        <v>9710.7727949067703</v>
      </c>
      <c r="AF95">
        <v>57118.049518516302</v>
      </c>
      <c r="AG95">
        <v>29001.092867603598</v>
      </c>
      <c r="AH95">
        <v>0</v>
      </c>
      <c r="AI95">
        <v>2</v>
      </c>
      <c r="AJ95">
        <v>0</v>
      </c>
      <c r="AK95">
        <v>3</v>
      </c>
      <c r="AL95">
        <v>36</v>
      </c>
      <c r="AM95">
        <v>0</v>
      </c>
      <c r="AN95" t="s">
        <v>103</v>
      </c>
      <c r="AO95" t="b">
        <v>0</v>
      </c>
      <c r="AP95" t="s">
        <v>103</v>
      </c>
      <c r="AQ95">
        <v>0</v>
      </c>
      <c r="AR95">
        <v>1</v>
      </c>
      <c r="AS95">
        <v>1.80527939664038</v>
      </c>
      <c r="AT95">
        <v>1</v>
      </c>
      <c r="AU95">
        <v>7.8570977710609098</v>
      </c>
      <c r="AV95">
        <v>2.6326835054643598</v>
      </c>
      <c r="AW95">
        <v>2.8601409409368901</v>
      </c>
      <c r="AX95">
        <v>96</v>
      </c>
      <c r="AY95">
        <v>41</v>
      </c>
      <c r="AZ95">
        <v>6</v>
      </c>
      <c r="BA95">
        <v>0</v>
      </c>
      <c r="BB95">
        <v>0</v>
      </c>
      <c r="BC95">
        <v>2</v>
      </c>
      <c r="BD95">
        <v>0</v>
      </c>
      <c r="BE95">
        <v>0</v>
      </c>
      <c r="BF95">
        <v>2</v>
      </c>
      <c r="BG95">
        <v>2</v>
      </c>
      <c r="BH95">
        <v>0</v>
      </c>
      <c r="BI95">
        <v>6</v>
      </c>
      <c r="BJ95">
        <v>6</v>
      </c>
      <c r="BK95">
        <v>2.8601409409368901</v>
      </c>
      <c r="BL95">
        <v>96</v>
      </c>
      <c r="BM95">
        <v>41</v>
      </c>
      <c r="BN95">
        <v>5.0610714749561598</v>
      </c>
      <c r="BO95">
        <v>34624.484197786202</v>
      </c>
      <c r="BP95" t="s">
        <v>598</v>
      </c>
      <c r="BQ95" t="s">
        <v>873</v>
      </c>
      <c r="BR95" cm="1">
        <f t="array" ref="BR95">IF($AP95="ארצי",SUMPRODUCT(($AP$2:$AP$143="ארצי")*($BK$2:$BK$143&gt;$BK95))+1,SUMPRODUCT(($AP$2:$AP$143=$AP95)*($L$2:$L$143=$L95)*($BK$2:$BK$143&gt;$BK95))+1)</f>
        <v>27</v>
      </c>
    </row>
    <row r="96" spans="1:70" x14ac:dyDescent="0.25">
      <c r="A96">
        <v>385</v>
      </c>
      <c r="B96">
        <v>34.817823521804399</v>
      </c>
      <c r="C96">
        <v>31.962720400365999</v>
      </c>
      <c r="D96" t="s">
        <v>599</v>
      </c>
      <c r="E96" t="s">
        <v>600</v>
      </c>
      <c r="F96" t="s">
        <v>128</v>
      </c>
      <c r="G96" t="s">
        <v>129</v>
      </c>
      <c r="H96" t="s">
        <v>601</v>
      </c>
      <c r="I96" t="s">
        <v>420</v>
      </c>
      <c r="J96" t="s">
        <v>74</v>
      </c>
      <c r="K96" t="s">
        <v>94</v>
      </c>
      <c r="L96" t="s">
        <v>94</v>
      </c>
      <c r="M96" t="s">
        <v>219</v>
      </c>
      <c r="N96" t="s">
        <v>133</v>
      </c>
      <c r="O96">
        <v>6384.15</v>
      </c>
      <c r="P96">
        <v>619.77459999999996</v>
      </c>
      <c r="Q96">
        <v>9.7080206448783304E-2</v>
      </c>
      <c r="R96">
        <v>3</v>
      </c>
      <c r="S96">
        <v>0</v>
      </c>
      <c r="T96">
        <v>0</v>
      </c>
      <c r="U96">
        <v>0</v>
      </c>
      <c r="V96">
        <v>0</v>
      </c>
      <c r="W96">
        <v>3</v>
      </c>
      <c r="X96">
        <v>0</v>
      </c>
      <c r="Y96">
        <v>0</v>
      </c>
      <c r="Z96">
        <v>20008.532622306298</v>
      </c>
      <c r="AA96">
        <v>7659.9519572763302</v>
      </c>
      <c r="AB96">
        <v>30386.656099753502</v>
      </c>
      <c r="AC96">
        <v>9399.1515016228004</v>
      </c>
      <c r="AD96">
        <v>20170.975039480702</v>
      </c>
      <c r="AE96">
        <v>5517.4514493337001</v>
      </c>
      <c r="AF96">
        <v>70566.163761540607</v>
      </c>
      <c r="AG96">
        <v>22576.5549082328</v>
      </c>
      <c r="AH96">
        <v>0</v>
      </c>
      <c r="AI96">
        <v>2</v>
      </c>
      <c r="AJ96">
        <v>0</v>
      </c>
      <c r="AK96">
        <v>2</v>
      </c>
      <c r="AL96">
        <v>29.7</v>
      </c>
      <c r="AM96">
        <v>0</v>
      </c>
      <c r="AN96" t="s">
        <v>143</v>
      </c>
      <c r="AO96" t="b">
        <v>0</v>
      </c>
      <c r="AP96" t="s">
        <v>143</v>
      </c>
      <c r="AQ96">
        <v>0</v>
      </c>
      <c r="AR96">
        <v>1</v>
      </c>
      <c r="AS96">
        <v>1.6109016112444201</v>
      </c>
      <c r="AT96">
        <v>1</v>
      </c>
      <c r="AU96">
        <v>4.4727164455957498</v>
      </c>
      <c r="AV96">
        <v>3.89993126751963</v>
      </c>
      <c r="AW96">
        <v>2.8186670862094898</v>
      </c>
      <c r="AX96">
        <v>98</v>
      </c>
      <c r="AY96">
        <v>23</v>
      </c>
      <c r="AZ96">
        <v>6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6</v>
      </c>
      <c r="BG96">
        <v>0</v>
      </c>
      <c r="BH96">
        <v>0</v>
      </c>
      <c r="BI96">
        <v>6</v>
      </c>
      <c r="BJ96">
        <v>6</v>
      </c>
      <c r="BK96">
        <v>2.8186670862094898</v>
      </c>
      <c r="BL96">
        <v>98</v>
      </c>
      <c r="BM96">
        <v>23</v>
      </c>
      <c r="BN96">
        <v>3.8051030825104299</v>
      </c>
      <c r="BO96">
        <v>60968.241990879003</v>
      </c>
      <c r="BP96" t="s">
        <v>602</v>
      </c>
      <c r="BQ96" t="s">
        <v>846</v>
      </c>
      <c r="BR96" cm="1">
        <f t="array" ref="BR96">IF($AP96="ארצי",SUMPRODUCT(($AP$2:$AP$143="ארצי")*($BK$2:$BK$143&gt;$BK96))+1,SUMPRODUCT(($AP$2:$AP$143=$AP96)*($L$2:$L$143=$L96)*($BK$2:$BK$143&gt;$BK96))+1)</f>
        <v>11</v>
      </c>
    </row>
    <row r="97" spans="1:70" x14ac:dyDescent="0.25">
      <c r="A97">
        <v>442</v>
      </c>
      <c r="B97">
        <v>34.866423331917403</v>
      </c>
      <c r="C97">
        <v>32.088559642170402</v>
      </c>
      <c r="D97" t="s">
        <v>603</v>
      </c>
      <c r="E97" t="s">
        <v>604</v>
      </c>
      <c r="F97" t="s">
        <v>205</v>
      </c>
      <c r="G97" t="s">
        <v>206</v>
      </c>
      <c r="H97" t="s">
        <v>605</v>
      </c>
      <c r="I97" t="s">
        <v>606</v>
      </c>
      <c r="J97" t="s">
        <v>74</v>
      </c>
      <c r="K97" t="s">
        <v>94</v>
      </c>
      <c r="L97" t="s">
        <v>94</v>
      </c>
      <c r="M97" t="s">
        <v>219</v>
      </c>
      <c r="N97" t="s">
        <v>133</v>
      </c>
      <c r="O97">
        <v>66308.34</v>
      </c>
      <c r="P97">
        <v>47929.9</v>
      </c>
      <c r="Q97">
        <v>0.72283365863177995</v>
      </c>
      <c r="R97">
        <v>0</v>
      </c>
      <c r="S97">
        <v>0</v>
      </c>
      <c r="T97">
        <v>0</v>
      </c>
      <c r="U97">
        <v>0</v>
      </c>
      <c r="V97">
        <v>0</v>
      </c>
      <c r="W97">
        <v>2</v>
      </c>
      <c r="X97">
        <v>2</v>
      </c>
      <c r="Y97">
        <v>0</v>
      </c>
      <c r="Z97">
        <v>13257.692047471</v>
      </c>
      <c r="AA97">
        <v>19926.821875441299</v>
      </c>
      <c r="AB97">
        <v>26360.6738119703</v>
      </c>
      <c r="AC97">
        <v>24202.182789987699</v>
      </c>
      <c r="AD97">
        <v>18334.503532488099</v>
      </c>
      <c r="AE97">
        <v>16186.3650572676</v>
      </c>
      <c r="AF97">
        <v>57952.869391929496</v>
      </c>
      <c r="AG97">
        <v>60315.369722696603</v>
      </c>
      <c r="AH97">
        <v>0</v>
      </c>
      <c r="AI97">
        <v>2</v>
      </c>
      <c r="AJ97">
        <v>0</v>
      </c>
      <c r="AK97">
        <v>2</v>
      </c>
      <c r="AL97">
        <v>24.2</v>
      </c>
      <c r="AM97">
        <v>0</v>
      </c>
      <c r="AN97" t="s">
        <v>103</v>
      </c>
      <c r="AO97" t="b">
        <v>0</v>
      </c>
      <c r="AP97" t="s">
        <v>103</v>
      </c>
      <c r="AQ97">
        <v>0</v>
      </c>
      <c r="AR97">
        <v>1</v>
      </c>
      <c r="AS97">
        <v>1.4412067192320801</v>
      </c>
      <c r="AT97">
        <v>1</v>
      </c>
      <c r="AU97">
        <v>6.6413083546279896</v>
      </c>
      <c r="AV97">
        <v>3.84579603049814</v>
      </c>
      <c r="AW97">
        <v>2.7979899751156698</v>
      </c>
      <c r="AX97">
        <v>99</v>
      </c>
      <c r="AY97">
        <v>42</v>
      </c>
      <c r="AZ97">
        <v>4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2</v>
      </c>
      <c r="BG97">
        <v>0</v>
      </c>
      <c r="BH97">
        <v>0</v>
      </c>
      <c r="BI97">
        <v>2</v>
      </c>
      <c r="BJ97">
        <v>4</v>
      </c>
      <c r="BK97">
        <v>2.7979899751156698</v>
      </c>
      <c r="BL97">
        <v>99</v>
      </c>
      <c r="BM97">
        <v>42</v>
      </c>
      <c r="BN97">
        <v>4.82156815567759</v>
      </c>
      <c r="BO97">
        <v>59842.869656543196</v>
      </c>
      <c r="BP97" t="s">
        <v>607</v>
      </c>
      <c r="BQ97" t="s">
        <v>874</v>
      </c>
      <c r="BR97" cm="1">
        <f t="array" ref="BR97">IF($AP97="ארצי",SUMPRODUCT(($AP$2:$AP$143="ארצי")*($BK$2:$BK$143&gt;$BK97))+1,SUMPRODUCT(($AP$2:$AP$143=$AP97)*($L$2:$L$143=$L97)*($BK$2:$BK$143&gt;$BK97))+1)</f>
        <v>28</v>
      </c>
    </row>
    <row r="98" spans="1:70" x14ac:dyDescent="0.25">
      <c r="A98">
        <v>859</v>
      </c>
      <c r="B98">
        <v>34.593563552746097</v>
      </c>
      <c r="C98">
        <v>31.676852584000201</v>
      </c>
      <c r="D98" t="s">
        <v>608</v>
      </c>
      <c r="E98" t="s">
        <v>609</v>
      </c>
      <c r="F98" t="s">
        <v>138</v>
      </c>
      <c r="G98" t="s">
        <v>139</v>
      </c>
      <c r="H98" t="s">
        <v>578</v>
      </c>
      <c r="I98" t="s">
        <v>579</v>
      </c>
      <c r="J98" t="s">
        <v>74</v>
      </c>
      <c r="K98" t="s">
        <v>275</v>
      </c>
      <c r="L98" t="s">
        <v>275</v>
      </c>
      <c r="M98" t="s">
        <v>276</v>
      </c>
      <c r="N98" t="s">
        <v>277</v>
      </c>
      <c r="O98">
        <v>6380.7128479000003</v>
      </c>
      <c r="P98">
        <v>0</v>
      </c>
      <c r="Q98">
        <v>0</v>
      </c>
      <c r="R98">
        <v>2</v>
      </c>
      <c r="S98">
        <v>0</v>
      </c>
      <c r="T98">
        <v>0</v>
      </c>
      <c r="U98">
        <v>0</v>
      </c>
      <c r="V98">
        <v>0</v>
      </c>
      <c r="W98">
        <v>2</v>
      </c>
      <c r="X98">
        <v>0</v>
      </c>
      <c r="Y98">
        <v>0</v>
      </c>
      <c r="Z98">
        <v>7966.6547979930501</v>
      </c>
      <c r="AA98">
        <v>4690.9176069761297</v>
      </c>
      <c r="AB98">
        <v>16182.4267265538</v>
      </c>
      <c r="AC98">
        <v>6440.9194087178903</v>
      </c>
      <c r="AD98">
        <v>12004.331323013101</v>
      </c>
      <c r="AE98">
        <v>4474.1783887124802</v>
      </c>
      <c r="AF98">
        <v>36153.412847560001</v>
      </c>
      <c r="AG98">
        <v>15606.0154044065</v>
      </c>
      <c r="AH98">
        <v>1</v>
      </c>
      <c r="AI98">
        <v>1</v>
      </c>
      <c r="AJ98">
        <v>1</v>
      </c>
      <c r="AK98">
        <v>2</v>
      </c>
      <c r="AL98">
        <v>19.8</v>
      </c>
      <c r="AM98">
        <v>0</v>
      </c>
      <c r="AN98" t="s">
        <v>143</v>
      </c>
      <c r="AO98" t="b">
        <v>0</v>
      </c>
      <c r="AP98" t="s">
        <v>143</v>
      </c>
      <c r="AQ98">
        <v>0</v>
      </c>
      <c r="AR98">
        <v>4</v>
      </c>
      <c r="AS98">
        <v>1.3054508056222101</v>
      </c>
      <c r="AT98">
        <v>1</v>
      </c>
      <c r="AU98">
        <v>4.47156994166322</v>
      </c>
      <c r="AV98">
        <v>2.50854793979846</v>
      </c>
      <c r="AW98">
        <v>2.7662868204904099</v>
      </c>
      <c r="AX98">
        <v>101</v>
      </c>
      <c r="AY98">
        <v>24</v>
      </c>
      <c r="AZ98">
        <v>4</v>
      </c>
      <c r="BA98">
        <v>0</v>
      </c>
      <c r="BB98">
        <v>0</v>
      </c>
      <c r="BC98">
        <v>4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4</v>
      </c>
      <c r="BJ98">
        <v>4</v>
      </c>
      <c r="BK98">
        <v>2.7662868204904099</v>
      </c>
      <c r="BL98">
        <v>101</v>
      </c>
      <c r="BM98">
        <v>24</v>
      </c>
      <c r="BN98">
        <v>3.80486920044771</v>
      </c>
      <c r="BO98">
        <v>32043.933358929298</v>
      </c>
      <c r="BP98" t="s">
        <v>905</v>
      </c>
      <c r="BQ98" t="s">
        <v>870</v>
      </c>
      <c r="BR98" cm="1">
        <f t="array" ref="BR98">IF($AP98="ארצי",SUMPRODUCT(($AP$2:$AP$143="ארצי")*($BK$2:$BK$143&gt;$BK98))+1,SUMPRODUCT(($AP$2:$AP$143=$AP98)*($L$2:$L$143=$L98)*($BK$2:$BK$143&gt;$BK98))+1)</f>
        <v>3</v>
      </c>
    </row>
    <row r="99" spans="1:70" x14ac:dyDescent="0.25">
      <c r="A99">
        <v>31</v>
      </c>
      <c r="B99">
        <v>34.875042878362997</v>
      </c>
      <c r="C99">
        <v>32.318871603931498</v>
      </c>
      <c r="D99" t="s">
        <v>610</v>
      </c>
      <c r="E99" t="s">
        <v>611</v>
      </c>
      <c r="F99" t="s">
        <v>128</v>
      </c>
      <c r="G99" t="s">
        <v>129</v>
      </c>
      <c r="H99" t="s">
        <v>154</v>
      </c>
      <c r="I99" t="s">
        <v>155</v>
      </c>
      <c r="J99" t="s">
        <v>74</v>
      </c>
      <c r="K99" t="s">
        <v>94</v>
      </c>
      <c r="L99" t="s">
        <v>94</v>
      </c>
      <c r="M99" t="s">
        <v>132</v>
      </c>
      <c r="N99" t="s">
        <v>133</v>
      </c>
      <c r="O99">
        <v>2179.41</v>
      </c>
      <c r="P99">
        <v>147.06</v>
      </c>
      <c r="Q99">
        <v>6.7476977714151995E-2</v>
      </c>
      <c r="R99">
        <v>1</v>
      </c>
      <c r="S99">
        <v>0</v>
      </c>
      <c r="T99">
        <v>0</v>
      </c>
      <c r="U99">
        <v>0</v>
      </c>
      <c r="V99">
        <v>0</v>
      </c>
      <c r="W99">
        <v>1</v>
      </c>
      <c r="X99">
        <v>0</v>
      </c>
      <c r="Y99">
        <v>0</v>
      </c>
      <c r="Z99">
        <v>1006.75361664818</v>
      </c>
      <c r="AA99">
        <v>7956.2543011456301</v>
      </c>
      <c r="AB99">
        <v>8584.58885350335</v>
      </c>
      <c r="AC99">
        <v>9184.5578813765496</v>
      </c>
      <c r="AD99">
        <v>10808.8751838363</v>
      </c>
      <c r="AE99">
        <v>4365.0754336984601</v>
      </c>
      <c r="AF99">
        <v>20400.217653987798</v>
      </c>
      <c r="AG99">
        <v>21505.8876162206</v>
      </c>
      <c r="AH99">
        <v>0</v>
      </c>
      <c r="AI99">
        <v>2</v>
      </c>
      <c r="AJ99">
        <v>0</v>
      </c>
      <c r="AK99">
        <v>2</v>
      </c>
      <c r="AL99">
        <v>9.9</v>
      </c>
      <c r="AM99">
        <v>0</v>
      </c>
      <c r="AN99" t="s">
        <v>134</v>
      </c>
      <c r="AO99" t="b">
        <v>0</v>
      </c>
      <c r="AP99" t="s">
        <v>134</v>
      </c>
      <c r="AQ99">
        <v>0</v>
      </c>
      <c r="AR99">
        <v>1</v>
      </c>
      <c r="AS99">
        <v>1</v>
      </c>
      <c r="AT99">
        <v>1</v>
      </c>
      <c r="AU99">
        <v>2.4710746092562599</v>
      </c>
      <c r="AV99">
        <v>1.9909852386829501</v>
      </c>
      <c r="AW99">
        <v>2.74693133645924</v>
      </c>
      <c r="AX99">
        <v>102</v>
      </c>
      <c r="AY99">
        <v>21</v>
      </c>
      <c r="AZ99">
        <v>2</v>
      </c>
      <c r="BA99">
        <v>0</v>
      </c>
      <c r="BB99">
        <v>0</v>
      </c>
      <c r="BC99">
        <v>2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2</v>
      </c>
      <c r="BJ99">
        <v>2</v>
      </c>
      <c r="BK99">
        <v>2.74693133645924</v>
      </c>
      <c r="BL99">
        <v>102</v>
      </c>
      <c r="BM99">
        <v>21</v>
      </c>
      <c r="BN99">
        <v>3.3383389392814702</v>
      </c>
      <c r="BO99">
        <v>21284.753623773999</v>
      </c>
      <c r="BP99" t="s">
        <v>612</v>
      </c>
      <c r="BQ99" t="s">
        <v>809</v>
      </c>
      <c r="BR99" cm="1">
        <f t="array" ref="BR99">IF($AP99="ארצי",SUMPRODUCT(($AP$2:$AP$143="ארצי")*($BK$2:$BK$143&gt;$BK99))+1,SUMPRODUCT(($AP$2:$AP$143=$AP99)*($L$2:$L$143=$L99)*($BK$2:$BK$143&gt;$BK99))+1)</f>
        <v>21</v>
      </c>
    </row>
    <row r="100" spans="1:70" x14ac:dyDescent="0.25">
      <c r="A100">
        <v>371</v>
      </c>
      <c r="B100">
        <v>34.841431272299502</v>
      </c>
      <c r="C100">
        <v>31.9687359927273</v>
      </c>
      <c r="D100" t="s">
        <v>613</v>
      </c>
      <c r="E100" t="s">
        <v>614</v>
      </c>
      <c r="F100" t="s">
        <v>460</v>
      </c>
      <c r="G100" t="s">
        <v>461</v>
      </c>
      <c r="H100" t="s">
        <v>615</v>
      </c>
      <c r="I100" t="s">
        <v>616</v>
      </c>
      <c r="J100" t="s">
        <v>74</v>
      </c>
      <c r="K100" t="s">
        <v>94</v>
      </c>
      <c r="L100" t="s">
        <v>94</v>
      </c>
      <c r="M100" t="s">
        <v>219</v>
      </c>
      <c r="N100" t="s">
        <v>133</v>
      </c>
      <c r="O100">
        <v>28168.229200000002</v>
      </c>
      <c r="P100">
        <v>24522.74</v>
      </c>
      <c r="Q100">
        <v>0.87058152736132899</v>
      </c>
      <c r="R100">
        <v>5.5</v>
      </c>
      <c r="S100">
        <v>0</v>
      </c>
      <c r="T100">
        <v>0</v>
      </c>
      <c r="U100">
        <v>0</v>
      </c>
      <c r="V100">
        <v>0</v>
      </c>
      <c r="W100">
        <v>1.5</v>
      </c>
      <c r="X100">
        <v>0</v>
      </c>
      <c r="Y100">
        <v>0</v>
      </c>
      <c r="Z100">
        <v>4407.79878930019</v>
      </c>
      <c r="AA100">
        <v>5038.8671165585101</v>
      </c>
      <c r="AB100">
        <v>9110.0860699164605</v>
      </c>
      <c r="AC100">
        <v>6772.9484160974198</v>
      </c>
      <c r="AD100">
        <v>6566.4732895949301</v>
      </c>
      <c r="AE100">
        <v>4166.2764359960102</v>
      </c>
      <c r="AF100">
        <v>20084.358148811501</v>
      </c>
      <c r="AG100">
        <v>15978.091968651899</v>
      </c>
      <c r="AH100">
        <v>0</v>
      </c>
      <c r="AI100">
        <v>2</v>
      </c>
      <c r="AJ100">
        <v>0</v>
      </c>
      <c r="AK100">
        <v>2</v>
      </c>
      <c r="AL100">
        <v>32.450000000000003</v>
      </c>
      <c r="AM100">
        <v>0</v>
      </c>
      <c r="AN100" t="s">
        <v>143</v>
      </c>
      <c r="AO100" t="b">
        <v>0</v>
      </c>
      <c r="AP100" t="s">
        <v>143</v>
      </c>
      <c r="AQ100">
        <v>0</v>
      </c>
      <c r="AR100">
        <v>1</v>
      </c>
      <c r="AS100">
        <v>1.6957490572506</v>
      </c>
      <c r="AT100">
        <v>1</v>
      </c>
      <c r="AU100">
        <v>7.6328611859659699</v>
      </c>
      <c r="AV100">
        <v>1.8937352630040301</v>
      </c>
      <c r="AW100">
        <v>2.7391044703888201</v>
      </c>
      <c r="AX100">
        <v>103</v>
      </c>
      <c r="AY100">
        <v>25</v>
      </c>
      <c r="AZ100">
        <v>7</v>
      </c>
      <c r="BA100">
        <v>0</v>
      </c>
      <c r="BB100">
        <v>0</v>
      </c>
      <c r="BC100">
        <v>2</v>
      </c>
      <c r="BD100">
        <v>0</v>
      </c>
      <c r="BE100">
        <v>0</v>
      </c>
      <c r="BF100">
        <v>4</v>
      </c>
      <c r="BG100">
        <v>0</v>
      </c>
      <c r="BH100">
        <v>0</v>
      </c>
      <c r="BI100">
        <v>6</v>
      </c>
      <c r="BJ100">
        <v>7</v>
      </c>
      <c r="BK100">
        <v>2.7391044703888201</v>
      </c>
      <c r="BL100">
        <v>103</v>
      </c>
      <c r="BM100">
        <v>25</v>
      </c>
      <c r="BN100">
        <v>4.4497595458554402</v>
      </c>
      <c r="BO100">
        <v>19263.1049127796</v>
      </c>
      <c r="BP100" t="s">
        <v>617</v>
      </c>
      <c r="BQ100" t="s">
        <v>875</v>
      </c>
      <c r="BR100" cm="1">
        <f t="array" ref="BR100">IF($AP100="ארצי",SUMPRODUCT(($AP$2:$AP$143="ארצי")*($BK$2:$BK$143&gt;$BK100))+1,SUMPRODUCT(($AP$2:$AP$143=$AP100)*($L$2:$L$143=$L100)*($BK$2:$BK$143&gt;$BK100))+1)</f>
        <v>12</v>
      </c>
    </row>
    <row r="101" spans="1:70" x14ac:dyDescent="0.25">
      <c r="A101">
        <v>22</v>
      </c>
      <c r="B101">
        <v>34.984786477377398</v>
      </c>
      <c r="C101">
        <v>32.2328188761159</v>
      </c>
      <c r="D101" t="s">
        <v>618</v>
      </c>
      <c r="E101" t="s">
        <v>619</v>
      </c>
      <c r="F101" t="s">
        <v>128</v>
      </c>
      <c r="G101" t="s">
        <v>129</v>
      </c>
      <c r="H101" t="s">
        <v>154</v>
      </c>
      <c r="I101" t="s">
        <v>155</v>
      </c>
      <c r="J101" t="s">
        <v>74</v>
      </c>
      <c r="K101" t="s">
        <v>94</v>
      </c>
      <c r="L101" t="s">
        <v>94</v>
      </c>
      <c r="M101" t="s">
        <v>132</v>
      </c>
      <c r="N101" t="s">
        <v>133</v>
      </c>
      <c r="O101">
        <v>4005</v>
      </c>
      <c r="P101">
        <v>3594.47</v>
      </c>
      <c r="Q101">
        <v>0.89749563046192204</v>
      </c>
      <c r="R101">
        <v>1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1797.73716059085</v>
      </c>
      <c r="AA101">
        <v>517.86296629441904</v>
      </c>
      <c r="AB101">
        <v>3492.3567065097</v>
      </c>
      <c r="AC101">
        <v>815.48345233707596</v>
      </c>
      <c r="AD101">
        <v>2334.0091387902698</v>
      </c>
      <c r="AE101">
        <v>528.38435459020104</v>
      </c>
      <c r="AF101">
        <v>7624.10300589083</v>
      </c>
      <c r="AG101">
        <v>1861.73077322169</v>
      </c>
      <c r="AH101">
        <v>0</v>
      </c>
      <c r="AI101">
        <v>2</v>
      </c>
      <c r="AJ101">
        <v>0</v>
      </c>
      <c r="AK101">
        <v>2</v>
      </c>
      <c r="AL101">
        <v>9.9</v>
      </c>
      <c r="AM101">
        <v>0</v>
      </c>
      <c r="AN101" t="s">
        <v>134</v>
      </c>
      <c r="AO101" t="b">
        <v>0</v>
      </c>
      <c r="AP101" t="s">
        <v>134</v>
      </c>
      <c r="AQ101">
        <v>0</v>
      </c>
      <c r="AR101">
        <v>1</v>
      </c>
      <c r="AS101">
        <v>1</v>
      </c>
      <c r="AT101">
        <v>1</v>
      </c>
      <c r="AU101">
        <v>4.0883753270448802</v>
      </c>
      <c r="AV101">
        <v>1.11209348154017</v>
      </c>
      <c r="AW101">
        <v>2.7278815526705702</v>
      </c>
      <c r="AX101">
        <v>104</v>
      </c>
      <c r="AY101">
        <v>22</v>
      </c>
      <c r="AZ101">
        <v>2</v>
      </c>
      <c r="BA101">
        <v>0</v>
      </c>
      <c r="BB101">
        <v>0</v>
      </c>
      <c r="BC101">
        <v>2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2</v>
      </c>
      <c r="BJ101">
        <v>2</v>
      </c>
      <c r="BK101">
        <v>2.7278815526705702</v>
      </c>
      <c r="BL101">
        <v>104</v>
      </c>
      <c r="BM101">
        <v>22</v>
      </c>
      <c r="BN101">
        <v>3.6026025204202501</v>
      </c>
      <c r="BO101">
        <v>3014.2052197555199</v>
      </c>
      <c r="BP101" t="s">
        <v>620</v>
      </c>
      <c r="BQ101" t="s">
        <v>809</v>
      </c>
      <c r="BR101" cm="1">
        <f t="array" ref="BR101">IF($AP101="ארצי",SUMPRODUCT(($AP$2:$AP$143="ארצי")*($BK$2:$BK$143&gt;$BK101))+1,SUMPRODUCT(($AP$2:$AP$143=$AP101)*($L$2:$L$143=$L101)*($BK$2:$BK$143&gt;$BK101))+1)</f>
        <v>22</v>
      </c>
    </row>
    <row r="102" spans="1:70" x14ac:dyDescent="0.25">
      <c r="A102">
        <v>647</v>
      </c>
      <c r="B102">
        <v>34.775258427165902</v>
      </c>
      <c r="C102">
        <v>32.005198717390698</v>
      </c>
      <c r="D102" t="s">
        <v>621</v>
      </c>
      <c r="E102" t="s">
        <v>622</v>
      </c>
      <c r="F102" t="s">
        <v>205</v>
      </c>
      <c r="G102" t="s">
        <v>206</v>
      </c>
      <c r="H102" t="s">
        <v>623</v>
      </c>
      <c r="I102" t="s">
        <v>624</v>
      </c>
      <c r="J102" t="s">
        <v>74</v>
      </c>
      <c r="K102" t="s">
        <v>94</v>
      </c>
      <c r="L102" t="s">
        <v>94</v>
      </c>
      <c r="M102" t="s">
        <v>142</v>
      </c>
      <c r="N102" t="s">
        <v>133</v>
      </c>
      <c r="O102">
        <v>62834.709999999897</v>
      </c>
      <c r="P102">
        <v>32177.93</v>
      </c>
      <c r="Q102">
        <v>0.51210437670516795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4</v>
      </c>
      <c r="X102">
        <v>4</v>
      </c>
      <c r="Y102">
        <v>0</v>
      </c>
      <c r="Z102">
        <v>25490.579973766198</v>
      </c>
      <c r="AA102">
        <v>4417.6832865588003</v>
      </c>
      <c r="AB102">
        <v>38212.747274473397</v>
      </c>
      <c r="AC102">
        <v>6408.8703385428298</v>
      </c>
      <c r="AD102">
        <v>28709.971864251798</v>
      </c>
      <c r="AE102">
        <v>6431.1626777817601</v>
      </c>
      <c r="AF102">
        <v>92413.299112491499</v>
      </c>
      <c r="AG102">
        <v>17257.7163028834</v>
      </c>
      <c r="AH102">
        <v>0</v>
      </c>
      <c r="AI102">
        <v>2</v>
      </c>
      <c r="AJ102">
        <v>0</v>
      </c>
      <c r="AK102">
        <v>2</v>
      </c>
      <c r="AL102">
        <v>48.4</v>
      </c>
      <c r="AM102">
        <v>0</v>
      </c>
      <c r="AN102" t="s">
        <v>103</v>
      </c>
      <c r="AO102" t="b">
        <v>0</v>
      </c>
      <c r="AP102" t="s">
        <v>103</v>
      </c>
      <c r="AQ102">
        <v>0</v>
      </c>
      <c r="AR102">
        <v>1</v>
      </c>
      <c r="AS102">
        <v>2.18786424408639</v>
      </c>
      <c r="AT102">
        <v>1</v>
      </c>
      <c r="AU102">
        <v>6.5226827569403598</v>
      </c>
      <c r="AV102">
        <v>2.5203286566265901</v>
      </c>
      <c r="AW102">
        <v>2.7081838680332901</v>
      </c>
      <c r="AX102">
        <v>105</v>
      </c>
      <c r="AY102">
        <v>44</v>
      </c>
      <c r="AZ102">
        <v>8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4</v>
      </c>
      <c r="BG102">
        <v>4</v>
      </c>
      <c r="BH102">
        <v>0</v>
      </c>
      <c r="BI102">
        <v>8</v>
      </c>
      <c r="BJ102">
        <v>8</v>
      </c>
      <c r="BK102">
        <v>2.7081838680332901</v>
      </c>
      <c r="BL102">
        <v>105</v>
      </c>
      <c r="BM102">
        <v>44</v>
      </c>
      <c r="BN102">
        <v>4.79819961502937</v>
      </c>
      <c r="BO102">
        <v>32288.832864805001</v>
      </c>
      <c r="BP102" t="s">
        <v>625</v>
      </c>
      <c r="BQ102" t="s">
        <v>876</v>
      </c>
      <c r="BR102" cm="1">
        <f t="array" ref="BR102">IF($AP102="ארצי",SUMPRODUCT(($AP$2:$AP$143="ארצי")*($BK$2:$BK$143&gt;$BK102))+1,SUMPRODUCT(($AP$2:$AP$143=$AP102)*($L$2:$L$143=$L102)*($BK$2:$BK$143&gt;$BK102))+1)</f>
        <v>29</v>
      </c>
    </row>
    <row r="103" spans="1:70" x14ac:dyDescent="0.25">
      <c r="A103">
        <v>118</v>
      </c>
      <c r="B103">
        <v>34.8950170226978</v>
      </c>
      <c r="C103">
        <v>32.1452164343928</v>
      </c>
      <c r="D103" t="s">
        <v>626</v>
      </c>
      <c r="E103" t="s">
        <v>627</v>
      </c>
      <c r="F103" t="s">
        <v>128</v>
      </c>
      <c r="G103" t="s">
        <v>129</v>
      </c>
      <c r="H103" t="s">
        <v>628</v>
      </c>
      <c r="I103" t="s">
        <v>629</v>
      </c>
      <c r="J103" t="s">
        <v>74</v>
      </c>
      <c r="K103" t="s">
        <v>94</v>
      </c>
      <c r="L103" t="s">
        <v>94</v>
      </c>
      <c r="M103" t="s">
        <v>132</v>
      </c>
      <c r="N103" t="s">
        <v>133</v>
      </c>
      <c r="O103">
        <v>21542.92</v>
      </c>
      <c r="P103">
        <v>19388.87</v>
      </c>
      <c r="Q103">
        <v>0.90001123338897404</v>
      </c>
      <c r="R103">
        <v>1.5</v>
      </c>
      <c r="S103">
        <v>0</v>
      </c>
      <c r="T103">
        <v>0</v>
      </c>
      <c r="U103">
        <v>0</v>
      </c>
      <c r="V103">
        <v>0</v>
      </c>
      <c r="W103">
        <v>1.5</v>
      </c>
      <c r="X103">
        <v>0</v>
      </c>
      <c r="Y103">
        <v>0</v>
      </c>
      <c r="Z103">
        <v>9460.7629671491195</v>
      </c>
      <c r="AA103">
        <v>3187.5087453030501</v>
      </c>
      <c r="AB103">
        <v>19569.9064282125</v>
      </c>
      <c r="AC103">
        <v>6525.1248296364902</v>
      </c>
      <c r="AD103">
        <v>12865.418792501699</v>
      </c>
      <c r="AE103">
        <v>4767.3629395956896</v>
      </c>
      <c r="AF103">
        <v>41896.088187863301</v>
      </c>
      <c r="AG103">
        <v>14479.9965145352</v>
      </c>
      <c r="AH103">
        <v>0</v>
      </c>
      <c r="AI103">
        <v>2</v>
      </c>
      <c r="AJ103">
        <v>0</v>
      </c>
      <c r="AK103">
        <v>2</v>
      </c>
      <c r="AL103">
        <v>14.85</v>
      </c>
      <c r="AM103">
        <v>0</v>
      </c>
      <c r="AN103" t="s">
        <v>143</v>
      </c>
      <c r="AO103" t="b">
        <v>0</v>
      </c>
      <c r="AP103" t="s">
        <v>143</v>
      </c>
      <c r="AQ103">
        <v>0</v>
      </c>
      <c r="AR103">
        <v>1</v>
      </c>
      <c r="AS103">
        <v>1.1527254028111</v>
      </c>
      <c r="AT103">
        <v>1</v>
      </c>
      <c r="AU103">
        <v>7.0619918865717697</v>
      </c>
      <c r="AV103">
        <v>2.7187125274934898</v>
      </c>
      <c r="AW103">
        <v>2.6938762880065901</v>
      </c>
      <c r="AX103">
        <v>106</v>
      </c>
      <c r="AY103">
        <v>26</v>
      </c>
      <c r="AZ103">
        <v>3</v>
      </c>
      <c r="BA103">
        <v>0</v>
      </c>
      <c r="BB103">
        <v>0</v>
      </c>
      <c r="BC103">
        <v>1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1</v>
      </c>
      <c r="BJ103">
        <v>3</v>
      </c>
      <c r="BK103">
        <v>2.6938762880065901</v>
      </c>
      <c r="BL103">
        <v>106</v>
      </c>
      <c r="BM103">
        <v>26</v>
      </c>
      <c r="BN103">
        <v>4.3333045686898704</v>
      </c>
      <c r="BO103">
        <v>36412.869853197699</v>
      </c>
      <c r="BP103" t="s">
        <v>630</v>
      </c>
      <c r="BQ103" t="s">
        <v>877</v>
      </c>
      <c r="BR103" cm="1">
        <f t="array" ref="BR103">IF($AP103="ארצי",SUMPRODUCT(($AP$2:$AP$143="ארצי")*($BK$2:$BK$143&gt;$BK103))+1,SUMPRODUCT(($AP$2:$AP$143=$AP103)*($L$2:$L$143=$L103)*($BK$2:$BK$143&gt;$BK103))+1)</f>
        <v>13</v>
      </c>
    </row>
    <row r="104" spans="1:70" x14ac:dyDescent="0.25">
      <c r="A104">
        <v>386</v>
      </c>
      <c r="B104">
        <v>34.823032821535698</v>
      </c>
      <c r="C104">
        <v>31.961641173665701</v>
      </c>
      <c r="D104" t="s">
        <v>631</v>
      </c>
      <c r="E104" t="s">
        <v>632</v>
      </c>
      <c r="F104" t="s">
        <v>128</v>
      </c>
      <c r="G104" t="s">
        <v>129</v>
      </c>
      <c r="H104" t="s">
        <v>601</v>
      </c>
      <c r="I104" t="s">
        <v>420</v>
      </c>
      <c r="J104" t="s">
        <v>74</v>
      </c>
      <c r="K104" t="s">
        <v>94</v>
      </c>
      <c r="L104" t="s">
        <v>94</v>
      </c>
      <c r="M104" t="s">
        <v>219</v>
      </c>
      <c r="N104" t="s">
        <v>133</v>
      </c>
      <c r="O104">
        <v>11253.73</v>
      </c>
      <c r="P104">
        <v>1932.89</v>
      </c>
      <c r="Q104">
        <v>0.1717554979549</v>
      </c>
      <c r="R104">
        <v>3</v>
      </c>
      <c r="S104">
        <v>0</v>
      </c>
      <c r="T104">
        <v>0</v>
      </c>
      <c r="U104">
        <v>0</v>
      </c>
      <c r="V104">
        <v>0</v>
      </c>
      <c r="W104">
        <v>3</v>
      </c>
      <c r="X104">
        <v>0</v>
      </c>
      <c r="Y104">
        <v>0</v>
      </c>
      <c r="Z104">
        <v>11538.0992600433</v>
      </c>
      <c r="AA104">
        <v>2477.8441151145498</v>
      </c>
      <c r="AB104">
        <v>25870.6810146444</v>
      </c>
      <c r="AC104">
        <v>8536.1913444763995</v>
      </c>
      <c r="AD104">
        <v>17043.4501866137</v>
      </c>
      <c r="AE104">
        <v>4931.9289495614603</v>
      </c>
      <c r="AF104">
        <v>54452.2304613015</v>
      </c>
      <c r="AG104">
        <v>15945.964409152401</v>
      </c>
      <c r="AH104">
        <v>0</v>
      </c>
      <c r="AI104">
        <v>2</v>
      </c>
      <c r="AJ104">
        <v>0</v>
      </c>
      <c r="AK104">
        <v>2</v>
      </c>
      <c r="AL104">
        <v>29.7</v>
      </c>
      <c r="AM104">
        <v>0</v>
      </c>
      <c r="AN104" t="s">
        <v>143</v>
      </c>
      <c r="AO104" t="b">
        <v>0</v>
      </c>
      <c r="AP104" t="s">
        <v>143</v>
      </c>
      <c r="AQ104">
        <v>0</v>
      </c>
      <c r="AR104">
        <v>1</v>
      </c>
      <c r="AS104">
        <v>1.6109016112444201</v>
      </c>
      <c r="AT104">
        <v>1</v>
      </c>
      <c r="AU104">
        <v>5.6795713368944103</v>
      </c>
      <c r="AV104">
        <v>3.2160198428159998</v>
      </c>
      <c r="AW104">
        <v>2.6871528213556899</v>
      </c>
      <c r="AX104">
        <v>107</v>
      </c>
      <c r="AY104">
        <v>27</v>
      </c>
      <c r="AZ104">
        <v>6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6</v>
      </c>
      <c r="BG104">
        <v>0</v>
      </c>
      <c r="BH104">
        <v>0</v>
      </c>
      <c r="BI104">
        <v>6</v>
      </c>
      <c r="BJ104">
        <v>6</v>
      </c>
      <c r="BK104">
        <v>2.6871528213556899</v>
      </c>
      <c r="BL104">
        <v>107</v>
      </c>
      <c r="BM104">
        <v>27</v>
      </c>
      <c r="BN104">
        <v>4.0512964913300804</v>
      </c>
      <c r="BO104">
        <v>46750.9772508717</v>
      </c>
      <c r="BP104" t="s">
        <v>633</v>
      </c>
      <c r="BQ104" t="s">
        <v>846</v>
      </c>
      <c r="BR104" cm="1">
        <f t="array" ref="BR104">IF($AP104="ארצי",SUMPRODUCT(($AP$2:$AP$143="ארצי")*($BK$2:$BK$143&gt;$BK104))+1,SUMPRODUCT(($AP$2:$AP$143=$AP104)*($L$2:$L$143=$L104)*($BK$2:$BK$143&gt;$BK104))+1)</f>
        <v>14</v>
      </c>
    </row>
    <row r="105" spans="1:70" x14ac:dyDescent="0.25">
      <c r="A105">
        <v>93</v>
      </c>
      <c r="B105">
        <v>34.886843407212702</v>
      </c>
      <c r="C105">
        <v>32.172811361340401</v>
      </c>
      <c r="D105" t="s">
        <v>634</v>
      </c>
      <c r="E105" t="s">
        <v>635</v>
      </c>
      <c r="F105" t="s">
        <v>636</v>
      </c>
      <c r="G105" t="s">
        <v>637</v>
      </c>
      <c r="H105" t="s">
        <v>638</v>
      </c>
      <c r="I105" t="s">
        <v>639</v>
      </c>
      <c r="J105" t="s">
        <v>74</v>
      </c>
      <c r="K105" t="s">
        <v>94</v>
      </c>
      <c r="L105" t="s">
        <v>94</v>
      </c>
      <c r="M105" t="s">
        <v>219</v>
      </c>
      <c r="N105" t="s">
        <v>133</v>
      </c>
      <c r="O105">
        <v>54720.83</v>
      </c>
      <c r="P105">
        <v>51552.53</v>
      </c>
      <c r="Q105">
        <v>0.94210065892640804</v>
      </c>
      <c r="R105">
        <v>1</v>
      </c>
      <c r="S105">
        <v>0</v>
      </c>
      <c r="T105">
        <v>0</v>
      </c>
      <c r="U105">
        <v>0</v>
      </c>
      <c r="V105">
        <v>0</v>
      </c>
      <c r="W105">
        <v>3</v>
      </c>
      <c r="X105">
        <v>0</v>
      </c>
      <c r="Y105">
        <v>4</v>
      </c>
      <c r="Z105">
        <v>5441.7972044579401</v>
      </c>
      <c r="AA105">
        <v>10462.263440860101</v>
      </c>
      <c r="AB105">
        <v>18989.139729485199</v>
      </c>
      <c r="AC105">
        <v>7662.6184235641804</v>
      </c>
      <c r="AD105">
        <v>14947.970211825999</v>
      </c>
      <c r="AE105">
        <v>8109.6139454677896</v>
      </c>
      <c r="AF105">
        <v>39378.907145769197</v>
      </c>
      <c r="AG105">
        <v>26234.495809892</v>
      </c>
      <c r="AH105">
        <v>0</v>
      </c>
      <c r="AI105">
        <v>2</v>
      </c>
      <c r="AJ105">
        <v>0</v>
      </c>
      <c r="AK105">
        <v>3</v>
      </c>
      <c r="AL105">
        <v>51.6</v>
      </c>
      <c r="AM105">
        <v>0</v>
      </c>
      <c r="AN105" t="s">
        <v>103</v>
      </c>
      <c r="AO105" t="b">
        <v>0</v>
      </c>
      <c r="AP105" t="s">
        <v>103</v>
      </c>
      <c r="AQ105">
        <v>0</v>
      </c>
      <c r="AR105">
        <v>1</v>
      </c>
      <c r="AS105">
        <v>2.2865958176208401</v>
      </c>
      <c r="AT105">
        <v>1</v>
      </c>
      <c r="AU105">
        <v>6.2178668025583201</v>
      </c>
      <c r="AV105">
        <v>2.3555495864622</v>
      </c>
      <c r="AW105">
        <v>2.6835473283965099</v>
      </c>
      <c r="AX105">
        <v>108</v>
      </c>
      <c r="AY105">
        <v>45</v>
      </c>
      <c r="AZ105">
        <v>8</v>
      </c>
      <c r="BA105">
        <v>0</v>
      </c>
      <c r="BB105">
        <v>2</v>
      </c>
      <c r="BC105">
        <v>2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4</v>
      </c>
      <c r="BJ105">
        <v>8</v>
      </c>
      <c r="BK105">
        <v>2.6835473283965099</v>
      </c>
      <c r="BL105">
        <v>108</v>
      </c>
      <c r="BM105">
        <v>45</v>
      </c>
      <c r="BN105">
        <v>4.7381526760966697</v>
      </c>
      <c r="BO105">
        <v>28863.3780770675</v>
      </c>
      <c r="BP105" t="s">
        <v>640</v>
      </c>
      <c r="BQ105" t="s">
        <v>878</v>
      </c>
      <c r="BR105" cm="1">
        <f t="array" ref="BR105">IF($AP105="ארצי",SUMPRODUCT(($AP$2:$AP$143="ארצי")*($BK$2:$BK$143&gt;$BK105))+1,SUMPRODUCT(($AP$2:$AP$143=$AP105)*($L$2:$L$143=$L105)*($BK$2:$BK$143&gt;$BK105))+1)</f>
        <v>30</v>
      </c>
    </row>
    <row r="106" spans="1:70" x14ac:dyDescent="0.25">
      <c r="A106">
        <v>14</v>
      </c>
      <c r="B106">
        <v>35.033777861203497</v>
      </c>
      <c r="C106">
        <v>32.471721227462801</v>
      </c>
      <c r="D106" t="s">
        <v>641</v>
      </c>
      <c r="E106" t="s">
        <v>642</v>
      </c>
      <c r="F106" t="s">
        <v>372</v>
      </c>
      <c r="G106" t="s">
        <v>373</v>
      </c>
      <c r="H106" t="s">
        <v>643</v>
      </c>
      <c r="I106" t="s">
        <v>644</v>
      </c>
      <c r="J106" t="s">
        <v>74</v>
      </c>
      <c r="K106" t="s">
        <v>86</v>
      </c>
      <c r="L106" t="s">
        <v>86</v>
      </c>
      <c r="M106" t="s">
        <v>376</v>
      </c>
      <c r="N106" t="s">
        <v>277</v>
      </c>
      <c r="O106">
        <v>47764.797955499998</v>
      </c>
      <c r="P106">
        <v>7532.6143579999998</v>
      </c>
      <c r="Q106">
        <v>0.15770221335423101</v>
      </c>
      <c r="R106">
        <v>2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</v>
      </c>
      <c r="Z106">
        <v>725.91983723728094</v>
      </c>
      <c r="AA106">
        <v>209.44808448681499</v>
      </c>
      <c r="AB106">
        <v>3737.9241307202201</v>
      </c>
      <c r="AC106">
        <v>850.55000831469397</v>
      </c>
      <c r="AD106">
        <v>2676.4447238061898</v>
      </c>
      <c r="AE106">
        <v>616.33296574818098</v>
      </c>
      <c r="AF106">
        <v>7140.2886917636997</v>
      </c>
      <c r="AG106">
        <v>1676.3310585496899</v>
      </c>
      <c r="AH106">
        <v>1</v>
      </c>
      <c r="AI106">
        <v>1</v>
      </c>
      <c r="AJ106">
        <v>1</v>
      </c>
      <c r="AK106">
        <v>2</v>
      </c>
      <c r="AL106">
        <v>22</v>
      </c>
      <c r="AM106">
        <v>0</v>
      </c>
      <c r="AN106" t="s">
        <v>103</v>
      </c>
      <c r="AO106" t="b">
        <v>0</v>
      </c>
      <c r="AP106" t="s">
        <v>103</v>
      </c>
      <c r="AQ106">
        <v>0</v>
      </c>
      <c r="AR106">
        <v>4</v>
      </c>
      <c r="AS106">
        <v>1.37332876242715</v>
      </c>
      <c r="AT106">
        <v>1</v>
      </c>
      <c r="AU106">
        <v>5.9181383505735896</v>
      </c>
      <c r="AV106">
        <v>1.1003039554365699</v>
      </c>
      <c r="AW106">
        <v>2.6355228784458702</v>
      </c>
      <c r="AX106">
        <v>109</v>
      </c>
      <c r="AY106">
        <v>46</v>
      </c>
      <c r="AZ106">
        <v>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4</v>
      </c>
      <c r="BK106">
        <v>2.6355228784458702</v>
      </c>
      <c r="BL106">
        <v>109</v>
      </c>
      <c r="BM106">
        <v>46</v>
      </c>
      <c r="BN106">
        <v>4.6791079450254101</v>
      </c>
      <c r="BO106">
        <v>2769.1225851924901</v>
      </c>
      <c r="BP106" t="s">
        <v>645</v>
      </c>
      <c r="BQ106" t="s">
        <v>879</v>
      </c>
      <c r="BR106" cm="1">
        <f t="array" ref="BR106">IF($AP106="ארצי",SUMPRODUCT(($AP$2:$AP$143="ארצי")*($BK$2:$BK$143&gt;$BK106))+1,SUMPRODUCT(($AP$2:$AP$143=$AP106)*($L$2:$L$143=$L106)*($BK$2:$BK$143&gt;$BK106))+1)</f>
        <v>7</v>
      </c>
    </row>
    <row r="107" spans="1:70" x14ac:dyDescent="0.25">
      <c r="A107">
        <v>599</v>
      </c>
      <c r="B107">
        <v>34.814485491645797</v>
      </c>
      <c r="C107">
        <v>32.106094089707199</v>
      </c>
      <c r="D107" t="s">
        <v>646</v>
      </c>
      <c r="E107" t="s">
        <v>647</v>
      </c>
      <c r="F107" t="s">
        <v>138</v>
      </c>
      <c r="G107" t="s">
        <v>139</v>
      </c>
      <c r="H107" t="s">
        <v>648</v>
      </c>
      <c r="I107" t="s">
        <v>649</v>
      </c>
      <c r="J107" t="s">
        <v>74</v>
      </c>
      <c r="K107" t="s">
        <v>94</v>
      </c>
      <c r="L107" t="s">
        <v>94</v>
      </c>
      <c r="M107" t="s">
        <v>76</v>
      </c>
      <c r="N107" t="s">
        <v>77</v>
      </c>
      <c r="O107">
        <v>26427.17</v>
      </c>
      <c r="P107">
        <v>20709.05</v>
      </c>
      <c r="Q107">
        <v>0.78362722909793203</v>
      </c>
      <c r="R107">
        <v>2</v>
      </c>
      <c r="S107">
        <v>0</v>
      </c>
      <c r="T107">
        <v>0</v>
      </c>
      <c r="U107">
        <v>0</v>
      </c>
      <c r="V107">
        <v>0</v>
      </c>
      <c r="W107">
        <v>3</v>
      </c>
      <c r="X107">
        <v>0</v>
      </c>
      <c r="Y107">
        <v>0</v>
      </c>
      <c r="Z107">
        <v>4000.5975457270602</v>
      </c>
      <c r="AA107">
        <v>2937.6996057122401</v>
      </c>
      <c r="AB107">
        <v>8669.3683122123293</v>
      </c>
      <c r="AC107">
        <v>11755.7291883748</v>
      </c>
      <c r="AD107">
        <v>6864.53066575711</v>
      </c>
      <c r="AE107">
        <v>10598.2647012943</v>
      </c>
      <c r="AF107">
        <v>19534.4965236965</v>
      </c>
      <c r="AG107">
        <v>25291.693495381402</v>
      </c>
      <c r="AH107">
        <v>0</v>
      </c>
      <c r="AI107">
        <v>3</v>
      </c>
      <c r="AJ107">
        <v>0</v>
      </c>
      <c r="AK107">
        <v>2</v>
      </c>
      <c r="AL107">
        <v>25.3</v>
      </c>
      <c r="AM107">
        <v>0</v>
      </c>
      <c r="AN107" t="s">
        <v>143</v>
      </c>
      <c r="AO107" t="b">
        <v>0</v>
      </c>
      <c r="AP107" t="s">
        <v>143</v>
      </c>
      <c r="AQ107">
        <v>0</v>
      </c>
      <c r="AR107">
        <v>1</v>
      </c>
      <c r="AS107">
        <v>1.4751456976345501</v>
      </c>
      <c r="AT107">
        <v>1</v>
      </c>
      <c r="AU107">
        <v>7.4970305539492399</v>
      </c>
      <c r="AV107">
        <v>1.9621795381660001</v>
      </c>
      <c r="AW107">
        <v>2.6204741349050402</v>
      </c>
      <c r="AX107">
        <v>110</v>
      </c>
      <c r="AY107">
        <v>28</v>
      </c>
      <c r="AZ107">
        <v>5</v>
      </c>
      <c r="BA107">
        <v>0</v>
      </c>
      <c r="BB107">
        <v>0</v>
      </c>
      <c r="BC107">
        <v>2</v>
      </c>
      <c r="BD107">
        <v>0</v>
      </c>
      <c r="BE107">
        <v>0</v>
      </c>
      <c r="BF107">
        <v>0</v>
      </c>
      <c r="BG107">
        <v>3</v>
      </c>
      <c r="BH107">
        <v>0</v>
      </c>
      <c r="BI107">
        <v>5</v>
      </c>
      <c r="BJ107">
        <v>5</v>
      </c>
      <c r="BK107">
        <v>2.6204741349050402</v>
      </c>
      <c r="BL107">
        <v>110</v>
      </c>
      <c r="BM107">
        <v>28</v>
      </c>
      <c r="BN107">
        <v>4.4220506584329096</v>
      </c>
      <c r="BO107">
        <v>20685.9359180334</v>
      </c>
      <c r="BP107" t="s">
        <v>650</v>
      </c>
      <c r="BQ107" t="s">
        <v>880</v>
      </c>
      <c r="BR107" cm="1">
        <f t="array" ref="BR107">IF($AP107="ארצי",SUMPRODUCT(($AP$2:$AP$143="ארצי")*($BK$2:$BK$143&gt;$BK107))+1,SUMPRODUCT(($AP$2:$AP$143=$AP107)*($L$2:$L$143=$L107)*($BK$2:$BK$143&gt;$BK107))+1)</f>
        <v>15</v>
      </c>
    </row>
    <row r="108" spans="1:70" x14ac:dyDescent="0.25">
      <c r="A108">
        <v>643</v>
      </c>
      <c r="B108">
        <v>34.774727429014803</v>
      </c>
      <c r="C108">
        <v>32.013489389541597</v>
      </c>
      <c r="D108" t="s">
        <v>651</v>
      </c>
      <c r="E108" t="s">
        <v>652</v>
      </c>
      <c r="F108" t="s">
        <v>205</v>
      </c>
      <c r="G108" t="s">
        <v>206</v>
      </c>
      <c r="H108" t="s">
        <v>653</v>
      </c>
      <c r="I108" t="s">
        <v>654</v>
      </c>
      <c r="J108" t="s">
        <v>74</v>
      </c>
      <c r="K108" t="s">
        <v>94</v>
      </c>
      <c r="L108" t="s">
        <v>94</v>
      </c>
      <c r="M108" t="s">
        <v>142</v>
      </c>
      <c r="N108" t="s">
        <v>133</v>
      </c>
      <c r="O108">
        <v>53262.66</v>
      </c>
      <c r="P108">
        <v>37304.14</v>
      </c>
      <c r="Q108">
        <v>0.70038071699761095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4</v>
      </c>
      <c r="X108">
        <v>2</v>
      </c>
      <c r="Y108">
        <v>0</v>
      </c>
      <c r="Z108">
        <v>27698.824024131201</v>
      </c>
      <c r="AA108">
        <v>7923.4452088378903</v>
      </c>
      <c r="AB108">
        <v>48615.026448524499</v>
      </c>
      <c r="AC108">
        <v>11499.5714697199</v>
      </c>
      <c r="AD108">
        <v>30033.478596840599</v>
      </c>
      <c r="AE108">
        <v>6525.8122951754804</v>
      </c>
      <c r="AF108">
        <v>106347.329069496</v>
      </c>
      <c r="AG108">
        <v>25948.8289737333</v>
      </c>
      <c r="AH108">
        <v>0</v>
      </c>
      <c r="AI108">
        <v>2</v>
      </c>
      <c r="AJ108">
        <v>0</v>
      </c>
      <c r="AK108">
        <v>2</v>
      </c>
      <c r="AL108">
        <v>35.200000000000003</v>
      </c>
      <c r="AM108">
        <v>0</v>
      </c>
      <c r="AN108" t="s">
        <v>103</v>
      </c>
      <c r="AO108" t="b">
        <v>0</v>
      </c>
      <c r="AP108" t="s">
        <v>103</v>
      </c>
      <c r="AQ108">
        <v>0</v>
      </c>
      <c r="AR108">
        <v>1</v>
      </c>
      <c r="AS108">
        <v>1.7805965032567701</v>
      </c>
      <c r="AT108">
        <v>1</v>
      </c>
      <c r="AU108">
        <v>6.1583227584428197</v>
      </c>
      <c r="AV108">
        <v>2.9888498227544198</v>
      </c>
      <c r="AW108">
        <v>2.6101345166971202</v>
      </c>
      <c r="AX108">
        <v>111</v>
      </c>
      <c r="AY108">
        <v>47</v>
      </c>
      <c r="AZ108">
        <v>6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2</v>
      </c>
      <c r="BG108">
        <v>4</v>
      </c>
      <c r="BH108">
        <v>0</v>
      </c>
      <c r="BI108">
        <v>6</v>
      </c>
      <c r="BJ108">
        <v>6</v>
      </c>
      <c r="BK108">
        <v>2.6101345166971202</v>
      </c>
      <c r="BL108">
        <v>111</v>
      </c>
      <c r="BM108">
        <v>47</v>
      </c>
      <c r="BN108">
        <v>4.7264228518226803</v>
      </c>
      <c r="BO108">
        <v>42028.528992885898</v>
      </c>
      <c r="BP108" t="s">
        <v>655</v>
      </c>
      <c r="BQ108" t="s">
        <v>881</v>
      </c>
      <c r="BR108" cm="1">
        <f t="array" ref="BR108">IF($AP108="ארצי",SUMPRODUCT(($AP$2:$AP$143="ארצי")*($BK$2:$BK$143&gt;$BK108))+1,SUMPRODUCT(($AP$2:$AP$143=$AP108)*($L$2:$L$143=$L108)*($BK$2:$BK$143&gt;$BK108))+1)</f>
        <v>31</v>
      </c>
    </row>
    <row r="109" spans="1:70" x14ac:dyDescent="0.25">
      <c r="A109">
        <v>847</v>
      </c>
      <c r="B109">
        <v>34.572121279630203</v>
      </c>
      <c r="C109">
        <v>31.651647925779301</v>
      </c>
      <c r="D109" t="s">
        <v>656</v>
      </c>
      <c r="E109" t="s">
        <v>657</v>
      </c>
      <c r="F109" t="s">
        <v>128</v>
      </c>
      <c r="G109" t="s">
        <v>129</v>
      </c>
      <c r="H109" t="s">
        <v>658</v>
      </c>
      <c r="I109" t="s">
        <v>659</v>
      </c>
      <c r="J109" t="s">
        <v>74</v>
      </c>
      <c r="K109" t="s">
        <v>275</v>
      </c>
      <c r="L109" t="s">
        <v>275</v>
      </c>
      <c r="M109" t="s">
        <v>276</v>
      </c>
      <c r="N109" t="s">
        <v>277</v>
      </c>
      <c r="O109">
        <v>4493.6285129999997</v>
      </c>
      <c r="P109">
        <v>0</v>
      </c>
      <c r="Q109">
        <v>0</v>
      </c>
      <c r="R109">
        <v>2</v>
      </c>
      <c r="S109">
        <v>0</v>
      </c>
      <c r="T109">
        <v>0</v>
      </c>
      <c r="U109">
        <v>0</v>
      </c>
      <c r="V109">
        <v>0</v>
      </c>
      <c r="W109">
        <v>2</v>
      </c>
      <c r="X109">
        <v>0</v>
      </c>
      <c r="Y109">
        <v>0</v>
      </c>
      <c r="Z109">
        <v>7947.4909635622898</v>
      </c>
      <c r="AA109">
        <v>1804.40989858284</v>
      </c>
      <c r="AB109">
        <v>13927.9594191054</v>
      </c>
      <c r="AC109">
        <v>3242.4253434729198</v>
      </c>
      <c r="AD109">
        <v>9930.8044589205092</v>
      </c>
      <c r="AE109">
        <v>2312.7765529896201</v>
      </c>
      <c r="AF109">
        <v>31806.254841588201</v>
      </c>
      <c r="AG109">
        <v>7359.61179504539</v>
      </c>
      <c r="AH109">
        <v>1</v>
      </c>
      <c r="AI109">
        <v>1</v>
      </c>
      <c r="AJ109">
        <v>1</v>
      </c>
      <c r="AK109">
        <v>2</v>
      </c>
      <c r="AL109">
        <v>19.8</v>
      </c>
      <c r="AM109">
        <v>0</v>
      </c>
      <c r="AN109" t="s">
        <v>143</v>
      </c>
      <c r="AO109" t="b">
        <v>0</v>
      </c>
      <c r="AP109" t="s">
        <v>143</v>
      </c>
      <c r="AQ109">
        <v>0</v>
      </c>
      <c r="AR109">
        <v>4</v>
      </c>
      <c r="AS109">
        <v>1.3054508056222101</v>
      </c>
      <c r="AT109">
        <v>1</v>
      </c>
      <c r="AU109">
        <v>3.7251232769026901</v>
      </c>
      <c r="AV109">
        <v>2.2619169026352002</v>
      </c>
      <c r="AW109">
        <v>2.5643687503776098</v>
      </c>
      <c r="AX109">
        <v>112</v>
      </c>
      <c r="AY109">
        <v>29</v>
      </c>
      <c r="AZ109">
        <v>4</v>
      </c>
      <c r="BA109">
        <v>0</v>
      </c>
      <c r="BB109">
        <v>0</v>
      </c>
      <c r="BC109">
        <v>4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4</v>
      </c>
      <c r="BJ109">
        <v>4</v>
      </c>
      <c r="BK109">
        <v>2.5643687503776098</v>
      </c>
      <c r="BL109">
        <v>112</v>
      </c>
      <c r="BM109">
        <v>29</v>
      </c>
      <c r="BN109">
        <v>3.65259716656491</v>
      </c>
      <c r="BO109">
        <v>26916.926232279598</v>
      </c>
      <c r="BP109" t="s">
        <v>902</v>
      </c>
      <c r="BQ109" t="s">
        <v>882</v>
      </c>
      <c r="BR109" cm="1">
        <f t="array" ref="BR109">IF($AP109="ארצי",SUMPRODUCT(($AP$2:$AP$143="ארצי")*($BK$2:$BK$143&gt;$BK109))+1,SUMPRODUCT(($AP$2:$AP$143=$AP109)*($L$2:$L$143=$L109)*($BK$2:$BK$143&gt;$BK109))+1)</f>
        <v>4</v>
      </c>
    </row>
    <row r="110" spans="1:70" x14ac:dyDescent="0.25">
      <c r="A110">
        <v>312</v>
      </c>
      <c r="B110">
        <v>34.812390358930898</v>
      </c>
      <c r="C110">
        <v>31.893249770779899</v>
      </c>
      <c r="D110" t="s">
        <v>660</v>
      </c>
      <c r="E110" t="s">
        <v>661</v>
      </c>
      <c r="F110" t="s">
        <v>538</v>
      </c>
      <c r="G110" t="s">
        <v>539</v>
      </c>
      <c r="H110" t="s">
        <v>662</v>
      </c>
      <c r="I110" t="s">
        <v>663</v>
      </c>
      <c r="J110" t="s">
        <v>74</v>
      </c>
      <c r="K110" t="s">
        <v>94</v>
      </c>
      <c r="L110" t="s">
        <v>94</v>
      </c>
      <c r="M110" t="s">
        <v>219</v>
      </c>
      <c r="N110" t="s">
        <v>133</v>
      </c>
      <c r="O110">
        <v>42626.92</v>
      </c>
      <c r="P110">
        <v>1489.080046</v>
      </c>
      <c r="Q110">
        <v>3.4932855716528398E-2</v>
      </c>
      <c r="R110">
        <v>4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4</v>
      </c>
      <c r="Y110">
        <v>0</v>
      </c>
      <c r="Z110">
        <v>20667.398926560501</v>
      </c>
      <c r="AA110">
        <v>9315.0154562709395</v>
      </c>
      <c r="AB110">
        <v>29192.108280988701</v>
      </c>
      <c r="AC110">
        <v>9622.6512384919806</v>
      </c>
      <c r="AD110">
        <v>18153.305998111398</v>
      </c>
      <c r="AE110">
        <v>5362.8882481251603</v>
      </c>
      <c r="AF110">
        <v>68012.813205660699</v>
      </c>
      <c r="AG110">
        <v>24300.554942888099</v>
      </c>
      <c r="AH110">
        <v>0</v>
      </c>
      <c r="AI110">
        <v>2</v>
      </c>
      <c r="AJ110">
        <v>0</v>
      </c>
      <c r="AK110">
        <v>2</v>
      </c>
      <c r="AL110">
        <v>44</v>
      </c>
      <c r="AM110">
        <v>0</v>
      </c>
      <c r="AN110" t="s">
        <v>103</v>
      </c>
      <c r="AO110" t="b">
        <v>0</v>
      </c>
      <c r="AP110" t="s">
        <v>103</v>
      </c>
      <c r="AQ110">
        <v>0</v>
      </c>
      <c r="AR110">
        <v>1</v>
      </c>
      <c r="AS110">
        <v>2.0521083304765102</v>
      </c>
      <c r="AT110">
        <v>1</v>
      </c>
      <c r="AU110">
        <v>5.6672476093084203</v>
      </c>
      <c r="AV110">
        <v>2.55660764840361</v>
      </c>
      <c r="AW110">
        <v>2.56170495194104</v>
      </c>
      <c r="AX110">
        <v>113</v>
      </c>
      <c r="AY110">
        <v>48</v>
      </c>
      <c r="AZ110">
        <v>8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6</v>
      </c>
      <c r="BG110">
        <v>0</v>
      </c>
      <c r="BH110">
        <v>0</v>
      </c>
      <c r="BI110">
        <v>6</v>
      </c>
      <c r="BJ110">
        <v>8</v>
      </c>
      <c r="BK110">
        <v>2.56170495194104</v>
      </c>
      <c r="BL110">
        <v>113</v>
      </c>
      <c r="BM110">
        <v>48</v>
      </c>
      <c r="BN110">
        <v>4.6296839539155297</v>
      </c>
      <c r="BO110">
        <v>33043.006595442603</v>
      </c>
      <c r="BP110" t="s">
        <v>664</v>
      </c>
      <c r="BQ110" t="s">
        <v>883</v>
      </c>
      <c r="BR110" cm="1">
        <f t="array" ref="BR110">IF($AP110="ארצי",SUMPRODUCT(($AP$2:$AP$143="ארצי")*($BK$2:$BK$143&gt;$BK110))+1,SUMPRODUCT(($AP$2:$AP$143=$AP110)*($L$2:$L$143=$L110)*($BK$2:$BK$143&gt;$BK110))+1)</f>
        <v>32</v>
      </c>
    </row>
    <row r="111" spans="1:70" x14ac:dyDescent="0.25">
      <c r="A111">
        <v>4</v>
      </c>
      <c r="B111">
        <v>34.992374788963197</v>
      </c>
      <c r="C111">
        <v>32.276514679206201</v>
      </c>
      <c r="D111" t="s">
        <v>665</v>
      </c>
      <c r="E111" t="s">
        <v>666</v>
      </c>
      <c r="F111" t="s">
        <v>128</v>
      </c>
      <c r="G111" t="s">
        <v>129</v>
      </c>
      <c r="H111" t="s">
        <v>154</v>
      </c>
      <c r="I111" t="s">
        <v>155</v>
      </c>
      <c r="J111" t="s">
        <v>74</v>
      </c>
      <c r="K111" t="s">
        <v>94</v>
      </c>
      <c r="L111" t="s">
        <v>94</v>
      </c>
      <c r="M111" t="s">
        <v>132</v>
      </c>
      <c r="N111" t="s">
        <v>133</v>
      </c>
      <c r="O111">
        <v>2929.26</v>
      </c>
      <c r="P111">
        <v>1617.85</v>
      </c>
      <c r="Q111">
        <v>0.55230672593078101</v>
      </c>
      <c r="R111">
        <v>1</v>
      </c>
      <c r="S111">
        <v>0</v>
      </c>
      <c r="T111">
        <v>0</v>
      </c>
      <c r="U111">
        <v>0</v>
      </c>
      <c r="V111">
        <v>0</v>
      </c>
      <c r="W111">
        <v>1</v>
      </c>
      <c r="X111">
        <v>0</v>
      </c>
      <c r="Y111">
        <v>0</v>
      </c>
      <c r="Z111">
        <v>802.59286785159998</v>
      </c>
      <c r="AA111">
        <v>258.63418979105899</v>
      </c>
      <c r="AB111">
        <v>6601.0371825415205</v>
      </c>
      <c r="AC111">
        <v>1634.05435256898</v>
      </c>
      <c r="AD111">
        <v>5546.95032308384</v>
      </c>
      <c r="AE111">
        <v>1490.3411454203999</v>
      </c>
      <c r="AF111">
        <v>12950.5803734769</v>
      </c>
      <c r="AG111">
        <v>3383.0296877804499</v>
      </c>
      <c r="AH111">
        <v>0</v>
      </c>
      <c r="AI111">
        <v>2</v>
      </c>
      <c r="AJ111">
        <v>0</v>
      </c>
      <c r="AK111">
        <v>2</v>
      </c>
      <c r="AL111">
        <v>9.9</v>
      </c>
      <c r="AM111">
        <v>0</v>
      </c>
      <c r="AN111" t="s">
        <v>134</v>
      </c>
      <c r="AO111" t="b">
        <v>0</v>
      </c>
      <c r="AP111" t="s">
        <v>134</v>
      </c>
      <c r="AQ111">
        <v>0</v>
      </c>
      <c r="AR111">
        <v>1</v>
      </c>
      <c r="AS111">
        <v>1</v>
      </c>
      <c r="AT111">
        <v>1</v>
      </c>
      <c r="AU111">
        <v>3.2570024724432201</v>
      </c>
      <c r="AV111">
        <v>1.22188356704628</v>
      </c>
      <c r="AW111">
        <v>2.5499830079000998</v>
      </c>
      <c r="AX111">
        <v>114</v>
      </c>
      <c r="AY111">
        <v>23</v>
      </c>
      <c r="AZ111">
        <v>2</v>
      </c>
      <c r="BA111">
        <v>0</v>
      </c>
      <c r="BB111">
        <v>0</v>
      </c>
      <c r="BC111">
        <v>2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2</v>
      </c>
      <c r="BJ111">
        <v>2</v>
      </c>
      <c r="BK111">
        <v>2.5499830079000998</v>
      </c>
      <c r="BL111">
        <v>114</v>
      </c>
      <c r="BM111">
        <v>23</v>
      </c>
      <c r="BN111">
        <v>3.4667579212049602</v>
      </c>
      <c r="BO111">
        <v>5296.5398249197497</v>
      </c>
      <c r="BP111" t="s">
        <v>667</v>
      </c>
      <c r="BQ111" t="s">
        <v>809</v>
      </c>
      <c r="BR111" cm="1">
        <f t="array" ref="BR111">IF($AP111="ארצי",SUMPRODUCT(($AP$2:$AP$143="ארצי")*($BK$2:$BK$143&gt;$BK111))+1,SUMPRODUCT(($AP$2:$AP$143=$AP111)*($L$2:$L$143=$L111)*($BK$2:$BK$143&gt;$BK111))+1)</f>
        <v>23</v>
      </c>
    </row>
    <row r="112" spans="1:70" x14ac:dyDescent="0.25">
      <c r="A112">
        <v>149</v>
      </c>
      <c r="B112">
        <v>34.862873041005798</v>
      </c>
      <c r="C112">
        <v>32.287125689603499</v>
      </c>
      <c r="D112" t="s">
        <v>668</v>
      </c>
      <c r="E112" t="s">
        <v>669</v>
      </c>
      <c r="F112" t="s">
        <v>128</v>
      </c>
      <c r="G112" t="s">
        <v>129</v>
      </c>
      <c r="H112" t="s">
        <v>670</v>
      </c>
      <c r="I112" t="s">
        <v>671</v>
      </c>
      <c r="J112" t="s">
        <v>74</v>
      </c>
      <c r="K112" t="s">
        <v>94</v>
      </c>
      <c r="L112" t="s">
        <v>94</v>
      </c>
      <c r="M112" t="s">
        <v>132</v>
      </c>
      <c r="N112" t="s">
        <v>133</v>
      </c>
      <c r="O112">
        <v>19938.18</v>
      </c>
      <c r="P112">
        <v>18031.28</v>
      </c>
      <c r="Q112">
        <v>0.90435937482759199</v>
      </c>
      <c r="R112">
        <v>2</v>
      </c>
      <c r="S112">
        <v>0</v>
      </c>
      <c r="T112">
        <v>0</v>
      </c>
      <c r="U112">
        <v>0</v>
      </c>
      <c r="V112">
        <v>0</v>
      </c>
      <c r="W112">
        <v>2</v>
      </c>
      <c r="X112">
        <v>0</v>
      </c>
      <c r="Y112">
        <v>0</v>
      </c>
      <c r="Z112">
        <v>3530.6935585647898</v>
      </c>
      <c r="AA112">
        <v>14315.612742957501</v>
      </c>
      <c r="AB112">
        <v>9867.5940606564891</v>
      </c>
      <c r="AC112">
        <v>15374.3277684481</v>
      </c>
      <c r="AD112">
        <v>8166.0327759178799</v>
      </c>
      <c r="AE112">
        <v>7188.04245288536</v>
      </c>
      <c r="AF112">
        <v>21564.320395139101</v>
      </c>
      <c r="AG112">
        <v>36877.982964290997</v>
      </c>
      <c r="AH112">
        <v>0</v>
      </c>
      <c r="AI112">
        <v>2</v>
      </c>
      <c r="AJ112">
        <v>0</v>
      </c>
      <c r="AK112">
        <v>2</v>
      </c>
      <c r="AL112">
        <v>19.8</v>
      </c>
      <c r="AM112">
        <v>0</v>
      </c>
      <c r="AN112" t="s">
        <v>143</v>
      </c>
      <c r="AO112" t="b">
        <v>0</v>
      </c>
      <c r="AP112" t="s">
        <v>143</v>
      </c>
      <c r="AQ112">
        <v>0</v>
      </c>
      <c r="AR112">
        <v>1</v>
      </c>
      <c r="AS112">
        <v>1.3054508056222101</v>
      </c>
      <c r="AT112">
        <v>1</v>
      </c>
      <c r="AU112">
        <v>6.89718925168774</v>
      </c>
      <c r="AV112">
        <v>2.1517641724458998</v>
      </c>
      <c r="AW112">
        <v>2.5419347699503998</v>
      </c>
      <c r="AX112">
        <v>115</v>
      </c>
      <c r="AY112">
        <v>30</v>
      </c>
      <c r="AZ112">
        <v>4</v>
      </c>
      <c r="BA112">
        <v>0</v>
      </c>
      <c r="BB112">
        <v>0</v>
      </c>
      <c r="BC112">
        <v>4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4</v>
      </c>
      <c r="BJ112">
        <v>4</v>
      </c>
      <c r="BK112">
        <v>2.5419347699503998</v>
      </c>
      <c r="BL112">
        <v>115</v>
      </c>
      <c r="BM112">
        <v>30</v>
      </c>
      <c r="BN112">
        <v>4.2996855124494804</v>
      </c>
      <c r="BO112">
        <v>24627.052908969501</v>
      </c>
      <c r="BP112" t="s">
        <v>672</v>
      </c>
      <c r="BQ112" t="s">
        <v>884</v>
      </c>
      <c r="BR112" cm="1">
        <f t="array" ref="BR112">IF($AP112="ארצי",SUMPRODUCT(($AP$2:$AP$143="ארצי")*($BK$2:$BK$143&gt;$BK112))+1,SUMPRODUCT(($AP$2:$AP$143=$AP112)*($L$2:$L$143=$L112)*($BK$2:$BK$143&gt;$BK112))+1)</f>
        <v>16</v>
      </c>
    </row>
    <row r="113" spans="1:70" x14ac:dyDescent="0.25">
      <c r="A113">
        <v>331</v>
      </c>
      <c r="B113">
        <v>34.876557284896698</v>
      </c>
      <c r="C113">
        <v>31.927882152830499</v>
      </c>
      <c r="D113" t="s">
        <v>673</v>
      </c>
      <c r="E113" t="s">
        <v>674</v>
      </c>
      <c r="F113" t="s">
        <v>675</v>
      </c>
      <c r="G113" t="s">
        <v>676</v>
      </c>
      <c r="H113" t="s">
        <v>677</v>
      </c>
      <c r="I113" t="s">
        <v>678</v>
      </c>
      <c r="J113" t="s">
        <v>74</v>
      </c>
      <c r="K113" t="s">
        <v>94</v>
      </c>
      <c r="L113" t="s">
        <v>94</v>
      </c>
      <c r="M113" t="s">
        <v>219</v>
      </c>
      <c r="N113" t="s">
        <v>133</v>
      </c>
      <c r="O113">
        <v>58012.539999999899</v>
      </c>
      <c r="P113">
        <v>43312.05</v>
      </c>
      <c r="Q113">
        <v>0.74659806310842403</v>
      </c>
      <c r="R113">
        <v>3</v>
      </c>
      <c r="S113">
        <v>0</v>
      </c>
      <c r="T113">
        <v>0</v>
      </c>
      <c r="U113">
        <v>0</v>
      </c>
      <c r="V113">
        <v>3</v>
      </c>
      <c r="W113">
        <v>3</v>
      </c>
      <c r="X113">
        <v>0</v>
      </c>
      <c r="Y113">
        <v>3</v>
      </c>
      <c r="Z113">
        <v>7898.1916754637396</v>
      </c>
      <c r="AA113">
        <v>4261.2832529298603</v>
      </c>
      <c r="AB113">
        <v>13463.511930368701</v>
      </c>
      <c r="AC113">
        <v>7012.4707334650802</v>
      </c>
      <c r="AD113">
        <v>9292.3735538274104</v>
      </c>
      <c r="AE113">
        <v>3830.0929312910498</v>
      </c>
      <c r="AF113">
        <v>30654.077159659799</v>
      </c>
      <c r="AG113">
        <v>15103.8469176859</v>
      </c>
      <c r="AH113">
        <v>0</v>
      </c>
      <c r="AI113">
        <v>2</v>
      </c>
      <c r="AJ113">
        <v>0</v>
      </c>
      <c r="AK113">
        <v>4</v>
      </c>
      <c r="AL113">
        <v>85.8</v>
      </c>
      <c r="AM113">
        <v>2</v>
      </c>
      <c r="AN113" t="s">
        <v>78</v>
      </c>
      <c r="AO113" t="b">
        <v>0</v>
      </c>
      <c r="AP113" t="s">
        <v>78</v>
      </c>
      <c r="AQ113">
        <v>2</v>
      </c>
      <c r="AR113">
        <v>1</v>
      </c>
      <c r="AS113">
        <v>3.3417895097703099</v>
      </c>
      <c r="AT113">
        <v>7</v>
      </c>
      <c r="AU113">
        <v>1</v>
      </c>
      <c r="AV113">
        <v>1.84326366734867</v>
      </c>
      <c r="AW113">
        <v>2.5361562037315699</v>
      </c>
      <c r="AX113">
        <v>116</v>
      </c>
      <c r="AY113">
        <v>15</v>
      </c>
      <c r="AZ113">
        <v>12</v>
      </c>
      <c r="BA113">
        <v>0</v>
      </c>
      <c r="BB113">
        <v>0</v>
      </c>
      <c r="BC113">
        <v>2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2</v>
      </c>
      <c r="BJ113">
        <v>12</v>
      </c>
      <c r="BK113">
        <v>2.5361562037315699</v>
      </c>
      <c r="BL113">
        <v>116</v>
      </c>
      <c r="BM113">
        <v>15</v>
      </c>
      <c r="BN113">
        <v>4.7635218808758797</v>
      </c>
      <c r="BO113">
        <v>18213.892966080701</v>
      </c>
      <c r="BP113" t="s">
        <v>679</v>
      </c>
      <c r="BQ113" t="s">
        <v>885</v>
      </c>
      <c r="BR113" cm="1">
        <f t="array" ref="BR113">IF($AP113="ארצי",SUMPRODUCT(($AP$2:$AP$143="ארצי")*($BK$2:$BK$143&gt;$BK113))+1,SUMPRODUCT(($AP$2:$AP$143=$AP113)*($L$2:$L$143=$L113)*($BK$2:$BK$143&gt;$BK113))+1)</f>
        <v>14</v>
      </c>
    </row>
    <row r="114" spans="1:70" x14ac:dyDescent="0.25">
      <c r="A114">
        <v>459</v>
      </c>
      <c r="B114">
        <v>34.863063061551301</v>
      </c>
      <c r="C114">
        <v>32.0603150537153</v>
      </c>
      <c r="D114" t="s">
        <v>680</v>
      </c>
      <c r="E114" t="s">
        <v>681</v>
      </c>
      <c r="F114" t="s">
        <v>205</v>
      </c>
      <c r="G114" t="s">
        <v>206</v>
      </c>
      <c r="H114" t="s">
        <v>605</v>
      </c>
      <c r="I114" t="s">
        <v>606</v>
      </c>
      <c r="J114" t="s">
        <v>74</v>
      </c>
      <c r="K114" t="s">
        <v>94</v>
      </c>
      <c r="L114" t="s">
        <v>94</v>
      </c>
      <c r="M114" t="s">
        <v>142</v>
      </c>
      <c r="N114" t="s">
        <v>133</v>
      </c>
      <c r="O114">
        <v>55506.039999999899</v>
      </c>
      <c r="P114">
        <v>33621.46</v>
      </c>
      <c r="Q114">
        <v>0.60572615160440202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2</v>
      </c>
      <c r="X114">
        <v>2</v>
      </c>
      <c r="Y114">
        <v>0</v>
      </c>
      <c r="Z114">
        <v>13347.075043719</v>
      </c>
      <c r="AA114">
        <v>11780.682262352901</v>
      </c>
      <c r="AB114">
        <v>18765.077945418099</v>
      </c>
      <c r="AC114">
        <v>9005.8735782229196</v>
      </c>
      <c r="AD114">
        <v>12609.849060771499</v>
      </c>
      <c r="AE114">
        <v>3854.38995319788</v>
      </c>
      <c r="AF114">
        <v>44722.002049908799</v>
      </c>
      <c r="AG114">
        <v>24640.945793773699</v>
      </c>
      <c r="AH114">
        <v>0</v>
      </c>
      <c r="AI114">
        <v>2</v>
      </c>
      <c r="AJ114">
        <v>0</v>
      </c>
      <c r="AK114">
        <v>2</v>
      </c>
      <c r="AL114">
        <v>24.2</v>
      </c>
      <c r="AM114">
        <v>0</v>
      </c>
      <c r="AN114" t="s">
        <v>103</v>
      </c>
      <c r="AO114" t="b">
        <v>0</v>
      </c>
      <c r="AP114" t="s">
        <v>103</v>
      </c>
      <c r="AQ114">
        <v>0</v>
      </c>
      <c r="AR114">
        <v>1</v>
      </c>
      <c r="AS114">
        <v>1.4412067192320801</v>
      </c>
      <c r="AT114">
        <v>1</v>
      </c>
      <c r="AU114">
        <v>6.2492767219319898</v>
      </c>
      <c r="AV114">
        <v>2.3456294701512399</v>
      </c>
      <c r="AW114">
        <v>2.4716688097912898</v>
      </c>
      <c r="AX114">
        <v>117</v>
      </c>
      <c r="AY114">
        <v>49</v>
      </c>
      <c r="AZ114">
        <v>4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2</v>
      </c>
      <c r="BG114">
        <v>0</v>
      </c>
      <c r="BH114">
        <v>0</v>
      </c>
      <c r="BI114">
        <v>2</v>
      </c>
      <c r="BJ114">
        <v>4</v>
      </c>
      <c r="BK114">
        <v>2.4716688097912898</v>
      </c>
      <c r="BL114">
        <v>117</v>
      </c>
      <c r="BM114">
        <v>49</v>
      </c>
      <c r="BN114">
        <v>4.7443402443108598</v>
      </c>
      <c r="BO114">
        <v>28657.157045000698</v>
      </c>
      <c r="BP114" t="s">
        <v>682</v>
      </c>
      <c r="BQ114" t="s">
        <v>874</v>
      </c>
      <c r="BR114" cm="1">
        <f t="array" ref="BR114">IF($AP114="ארצי",SUMPRODUCT(($AP$2:$AP$143="ארצי")*($BK$2:$BK$143&gt;$BK114))+1,SUMPRODUCT(($AP$2:$AP$143=$AP114)*($L$2:$L$143=$L114)*($BK$2:$BK$143&gt;$BK114))+1)</f>
        <v>33</v>
      </c>
    </row>
    <row r="115" spans="1:70" x14ac:dyDescent="0.25">
      <c r="A115">
        <v>907</v>
      </c>
      <c r="B115">
        <v>34.6620514797605</v>
      </c>
      <c r="C115">
        <v>31.820833107531801</v>
      </c>
      <c r="D115" t="s">
        <v>683</v>
      </c>
      <c r="E115" t="s">
        <v>684</v>
      </c>
      <c r="F115" t="s">
        <v>138</v>
      </c>
      <c r="G115" t="s">
        <v>139</v>
      </c>
      <c r="H115" t="s">
        <v>685</v>
      </c>
      <c r="I115" t="s">
        <v>686</v>
      </c>
      <c r="J115" t="s">
        <v>74</v>
      </c>
      <c r="K115" t="s">
        <v>94</v>
      </c>
      <c r="L115" t="s">
        <v>94</v>
      </c>
      <c r="M115" t="s">
        <v>132</v>
      </c>
      <c r="N115" t="s">
        <v>133</v>
      </c>
      <c r="O115">
        <v>9714.76</v>
      </c>
      <c r="P115">
        <v>150.16</v>
      </c>
      <c r="Q115">
        <v>1.54568923987828E-2</v>
      </c>
      <c r="R115">
        <v>1</v>
      </c>
      <c r="S115">
        <v>0</v>
      </c>
      <c r="T115">
        <v>0</v>
      </c>
      <c r="U115">
        <v>0</v>
      </c>
      <c r="V115">
        <v>0</v>
      </c>
      <c r="W115">
        <v>6</v>
      </c>
      <c r="X115">
        <v>0</v>
      </c>
      <c r="Y115">
        <v>0</v>
      </c>
      <c r="Z115">
        <v>7236.4235935328998</v>
      </c>
      <c r="AA115">
        <v>5429.1659729640196</v>
      </c>
      <c r="AB115">
        <v>8543.1167714158892</v>
      </c>
      <c r="AC115">
        <v>6802.1737147391595</v>
      </c>
      <c r="AD115">
        <v>4137.0214050967097</v>
      </c>
      <c r="AE115">
        <v>3400.3687183751199</v>
      </c>
      <c r="AF115">
        <v>19916.5617700455</v>
      </c>
      <c r="AG115">
        <v>15631.7084060783</v>
      </c>
      <c r="AH115">
        <v>0</v>
      </c>
      <c r="AI115">
        <v>2</v>
      </c>
      <c r="AJ115">
        <v>0</v>
      </c>
      <c r="AK115">
        <v>2</v>
      </c>
      <c r="AL115">
        <v>37.4</v>
      </c>
      <c r="AM115">
        <v>0</v>
      </c>
      <c r="AN115" t="s">
        <v>143</v>
      </c>
      <c r="AO115" t="b">
        <v>0</v>
      </c>
      <c r="AP115" t="s">
        <v>143</v>
      </c>
      <c r="AQ115">
        <v>0</v>
      </c>
      <c r="AR115">
        <v>1</v>
      </c>
      <c r="AS115">
        <v>1.8484744600617</v>
      </c>
      <c r="AT115">
        <v>1</v>
      </c>
      <c r="AU115">
        <v>5.36650413320982</v>
      </c>
      <c r="AV115">
        <v>1.8839453754222999</v>
      </c>
      <c r="AW115">
        <v>2.4238180829855098</v>
      </c>
      <c r="AX115">
        <v>118</v>
      </c>
      <c r="AY115">
        <v>31</v>
      </c>
      <c r="AZ115">
        <v>7</v>
      </c>
      <c r="BA115">
        <v>2</v>
      </c>
      <c r="BB115">
        <v>0</v>
      </c>
      <c r="BC115">
        <v>2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4</v>
      </c>
      <c r="BJ115">
        <v>7</v>
      </c>
      <c r="BK115">
        <v>2.4238180829855098</v>
      </c>
      <c r="BL115">
        <v>118</v>
      </c>
      <c r="BM115">
        <v>31</v>
      </c>
      <c r="BN115">
        <v>3.9874320759637798</v>
      </c>
      <c r="BO115">
        <v>19059.591097252</v>
      </c>
      <c r="BP115" t="s">
        <v>687</v>
      </c>
      <c r="BQ115" t="s">
        <v>886</v>
      </c>
      <c r="BR115" cm="1">
        <f t="array" ref="BR115">IF($AP115="ארצי",SUMPRODUCT(($AP$2:$AP$143="ארצי")*($BK$2:$BK$143&gt;$BK115))+1,SUMPRODUCT(($AP$2:$AP$143=$AP115)*($L$2:$L$143=$L115)*($BK$2:$BK$143&gt;$BK115))+1)</f>
        <v>17</v>
      </c>
    </row>
    <row r="116" spans="1:70" x14ac:dyDescent="0.25">
      <c r="A116">
        <v>318</v>
      </c>
      <c r="B116">
        <v>34.899660659692501</v>
      </c>
      <c r="C116">
        <v>31.962205550244398</v>
      </c>
      <c r="D116" t="s">
        <v>688</v>
      </c>
      <c r="E116" t="s">
        <v>689</v>
      </c>
      <c r="F116" t="s">
        <v>138</v>
      </c>
      <c r="G116" t="s">
        <v>139</v>
      </c>
      <c r="H116" t="s">
        <v>690</v>
      </c>
      <c r="I116" t="s">
        <v>691</v>
      </c>
      <c r="J116" t="s">
        <v>74</v>
      </c>
      <c r="K116" t="s">
        <v>94</v>
      </c>
      <c r="L116" t="s">
        <v>94</v>
      </c>
      <c r="M116" t="s">
        <v>219</v>
      </c>
      <c r="N116" t="s">
        <v>133</v>
      </c>
      <c r="O116">
        <v>6550.66</v>
      </c>
      <c r="P116">
        <v>796.07249999999999</v>
      </c>
      <c r="Q116">
        <v>0.121525540937859</v>
      </c>
      <c r="R116">
        <v>8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7338.7944078961</v>
      </c>
      <c r="AA116">
        <v>10876.7595897712</v>
      </c>
      <c r="AB116">
        <v>14669.125755638001</v>
      </c>
      <c r="AC116">
        <v>13257.4052762274</v>
      </c>
      <c r="AD116">
        <v>10590.9228753194</v>
      </c>
      <c r="AE116">
        <v>8275.5181190461699</v>
      </c>
      <c r="AF116">
        <v>32598.8430388536</v>
      </c>
      <c r="AG116">
        <v>32409.682985044801</v>
      </c>
      <c r="AH116">
        <v>0</v>
      </c>
      <c r="AI116">
        <v>2</v>
      </c>
      <c r="AJ116">
        <v>0</v>
      </c>
      <c r="AK116">
        <v>2</v>
      </c>
      <c r="AL116">
        <v>40.700000000000003</v>
      </c>
      <c r="AM116">
        <v>0</v>
      </c>
      <c r="AN116" t="s">
        <v>143</v>
      </c>
      <c r="AO116" t="b">
        <v>0</v>
      </c>
      <c r="AP116" t="s">
        <v>143</v>
      </c>
      <c r="AQ116">
        <v>0</v>
      </c>
      <c r="AR116">
        <v>1</v>
      </c>
      <c r="AS116">
        <v>1.9502913952691101</v>
      </c>
      <c r="AT116">
        <v>1</v>
      </c>
      <c r="AU116">
        <v>4.5275311654264403</v>
      </c>
      <c r="AV116">
        <v>2.5334215938990399</v>
      </c>
      <c r="AW116">
        <v>2.4127286393519598</v>
      </c>
      <c r="AX116">
        <v>119</v>
      </c>
      <c r="AY116">
        <v>32</v>
      </c>
      <c r="AZ116">
        <v>9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4</v>
      </c>
      <c r="BG116">
        <v>0</v>
      </c>
      <c r="BH116">
        <v>0</v>
      </c>
      <c r="BI116">
        <v>4</v>
      </c>
      <c r="BJ116">
        <v>9</v>
      </c>
      <c r="BK116">
        <v>2.4127286393519598</v>
      </c>
      <c r="BL116">
        <v>119</v>
      </c>
      <c r="BM116">
        <v>32</v>
      </c>
      <c r="BN116">
        <v>3.8162850587578698</v>
      </c>
      <c r="BO116">
        <v>32561.0110280919</v>
      </c>
      <c r="BP116" t="s">
        <v>692</v>
      </c>
      <c r="BQ116" t="s">
        <v>887</v>
      </c>
      <c r="BR116" cm="1">
        <f t="array" ref="BR116">IF($AP116="ארצי",SUMPRODUCT(($AP$2:$AP$143="ארצי")*($BK$2:$BK$143&gt;$BK116))+1,SUMPRODUCT(($AP$2:$AP$143=$AP116)*($L$2:$L$143=$L116)*($BK$2:$BK$143&gt;$BK116))+1)</f>
        <v>18</v>
      </c>
    </row>
    <row r="117" spans="1:70" x14ac:dyDescent="0.25">
      <c r="A117">
        <v>23</v>
      </c>
      <c r="B117">
        <v>34.989449741251804</v>
      </c>
      <c r="C117">
        <v>32.240650327156601</v>
      </c>
      <c r="D117" t="s">
        <v>693</v>
      </c>
      <c r="E117" t="s">
        <v>694</v>
      </c>
      <c r="F117" t="s">
        <v>128</v>
      </c>
      <c r="G117" t="s">
        <v>129</v>
      </c>
      <c r="H117" t="s">
        <v>154</v>
      </c>
      <c r="I117" t="s">
        <v>155</v>
      </c>
      <c r="J117" t="s">
        <v>74</v>
      </c>
      <c r="K117" t="s">
        <v>94</v>
      </c>
      <c r="L117" t="s">
        <v>94</v>
      </c>
      <c r="M117" t="s">
        <v>132</v>
      </c>
      <c r="N117" t="s">
        <v>133</v>
      </c>
      <c r="O117">
        <v>1616.77</v>
      </c>
      <c r="P117">
        <v>1.306235</v>
      </c>
      <c r="Q117">
        <v>8.0792877156305397E-4</v>
      </c>
      <c r="R117">
        <v>1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2978.99592358988</v>
      </c>
      <c r="AA117">
        <v>699.01488781441003</v>
      </c>
      <c r="AB117">
        <v>4707.6441735482504</v>
      </c>
      <c r="AC117">
        <v>1389.7343399568999</v>
      </c>
      <c r="AD117">
        <v>2954.2443540525901</v>
      </c>
      <c r="AE117">
        <v>868.45943350140305</v>
      </c>
      <c r="AF117">
        <v>10640.884451190699</v>
      </c>
      <c r="AG117">
        <v>2957.2086612727198</v>
      </c>
      <c r="AH117">
        <v>0</v>
      </c>
      <c r="AI117">
        <v>2</v>
      </c>
      <c r="AJ117">
        <v>0</v>
      </c>
      <c r="AK117">
        <v>2</v>
      </c>
      <c r="AL117">
        <v>9.9</v>
      </c>
      <c r="AM117">
        <v>0</v>
      </c>
      <c r="AN117" t="s">
        <v>134</v>
      </c>
      <c r="AO117" t="b">
        <v>0</v>
      </c>
      <c r="AP117" t="s">
        <v>134</v>
      </c>
      <c r="AQ117">
        <v>0</v>
      </c>
      <c r="AR117">
        <v>1</v>
      </c>
      <c r="AS117">
        <v>1</v>
      </c>
      <c r="AT117">
        <v>1</v>
      </c>
      <c r="AU117">
        <v>1.6773638116473299</v>
      </c>
      <c r="AV117">
        <v>1.18327525611357</v>
      </c>
      <c r="AW117">
        <v>2.4072211769272398</v>
      </c>
      <c r="AX117">
        <v>120</v>
      </c>
      <c r="AY117">
        <v>24</v>
      </c>
      <c r="AZ117">
        <v>2</v>
      </c>
      <c r="BA117">
        <v>0</v>
      </c>
      <c r="BB117">
        <v>0</v>
      </c>
      <c r="BC117">
        <v>2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2</v>
      </c>
      <c r="BJ117">
        <v>2</v>
      </c>
      <c r="BK117">
        <v>2.4072211769272398</v>
      </c>
      <c r="BL117">
        <v>120</v>
      </c>
      <c r="BM117">
        <v>24</v>
      </c>
      <c r="BN117">
        <v>3.2086482420242302</v>
      </c>
      <c r="BO117">
        <v>4493.9438192563202</v>
      </c>
      <c r="BP117" t="s">
        <v>695</v>
      </c>
      <c r="BQ117" t="s">
        <v>809</v>
      </c>
      <c r="BR117" cm="1">
        <f t="array" ref="BR117">IF($AP117="ארצי",SUMPRODUCT(($AP$2:$AP$143="ארצי")*($BK$2:$BK$143&gt;$BK117))+1,SUMPRODUCT(($AP$2:$AP$143=$AP117)*($L$2:$L$143=$L117)*($BK$2:$BK$143&gt;$BK117))+1)</f>
        <v>24</v>
      </c>
    </row>
    <row r="118" spans="1:70" x14ac:dyDescent="0.25">
      <c r="A118">
        <v>912</v>
      </c>
      <c r="B118">
        <v>34.671019126365998</v>
      </c>
      <c r="C118">
        <v>31.827801757662598</v>
      </c>
      <c r="D118" t="s">
        <v>696</v>
      </c>
      <c r="E118" t="s">
        <v>697</v>
      </c>
      <c r="F118" t="s">
        <v>138</v>
      </c>
      <c r="G118" t="s">
        <v>139</v>
      </c>
      <c r="H118" t="s">
        <v>698</v>
      </c>
      <c r="I118" t="s">
        <v>699</v>
      </c>
      <c r="J118" t="s">
        <v>74</v>
      </c>
      <c r="K118" t="s">
        <v>94</v>
      </c>
      <c r="L118" t="s">
        <v>94</v>
      </c>
      <c r="M118" t="s">
        <v>132</v>
      </c>
      <c r="N118" t="s">
        <v>133</v>
      </c>
      <c r="O118">
        <v>19749.686900000001</v>
      </c>
      <c r="P118">
        <v>19705.59</v>
      </c>
      <c r="Q118">
        <v>0.99776721017283498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4</v>
      </c>
      <c r="X118">
        <v>0</v>
      </c>
      <c r="Y118">
        <v>0</v>
      </c>
      <c r="Z118">
        <v>2359.0489749018302</v>
      </c>
      <c r="AA118">
        <v>2376.95619847536</v>
      </c>
      <c r="AB118">
        <v>3543.2777058745</v>
      </c>
      <c r="AC118">
        <v>3566.27689547317</v>
      </c>
      <c r="AD118">
        <v>2388.52026198148</v>
      </c>
      <c r="AE118">
        <v>2370.9620097127299</v>
      </c>
      <c r="AF118">
        <v>8290.8469427578202</v>
      </c>
      <c r="AG118">
        <v>8314.1951036612609</v>
      </c>
      <c r="AH118">
        <v>0</v>
      </c>
      <c r="AI118">
        <v>2</v>
      </c>
      <c r="AJ118">
        <v>0</v>
      </c>
      <c r="AK118">
        <v>2</v>
      </c>
      <c r="AL118">
        <v>26.4</v>
      </c>
      <c r="AM118">
        <v>0</v>
      </c>
      <c r="AN118" t="s">
        <v>143</v>
      </c>
      <c r="AO118" t="b">
        <v>0</v>
      </c>
      <c r="AP118" t="s">
        <v>143</v>
      </c>
      <c r="AQ118">
        <v>0</v>
      </c>
      <c r="AR118">
        <v>1</v>
      </c>
      <c r="AS118">
        <v>1.50908467603702</v>
      </c>
      <c r="AT118">
        <v>1</v>
      </c>
      <c r="AU118">
        <v>6.8769667954089204</v>
      </c>
      <c r="AV118">
        <v>1.36614721404631</v>
      </c>
      <c r="AW118">
        <v>2.3805557930365402</v>
      </c>
      <c r="AX118">
        <v>121</v>
      </c>
      <c r="AY118">
        <v>33</v>
      </c>
      <c r="AZ118">
        <v>5</v>
      </c>
      <c r="BA118">
        <v>2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2</v>
      </c>
      <c r="BJ118">
        <v>5</v>
      </c>
      <c r="BK118">
        <v>2.3805557930365402</v>
      </c>
      <c r="BL118">
        <v>121</v>
      </c>
      <c r="BM118">
        <v>33</v>
      </c>
      <c r="BN118">
        <v>4.2955602149660104</v>
      </c>
      <c r="BO118">
        <v>8295.5165749385105</v>
      </c>
      <c r="BP118" t="s">
        <v>700</v>
      </c>
      <c r="BQ118" t="s">
        <v>888</v>
      </c>
      <c r="BR118" cm="1">
        <f t="array" ref="BR118">IF($AP118="ארצי",SUMPRODUCT(($AP$2:$AP$143="ארצי")*($BK$2:$BK$143&gt;$BK118))+1,SUMPRODUCT(($AP$2:$AP$143=$AP118)*($L$2:$L$143=$L118)*($BK$2:$BK$143&gt;$BK118))+1)</f>
        <v>19</v>
      </c>
    </row>
    <row r="119" spans="1:70" x14ac:dyDescent="0.25">
      <c r="A119">
        <v>117</v>
      </c>
      <c r="B119">
        <v>34.894294871341003</v>
      </c>
      <c r="C119">
        <v>32.156689707468502</v>
      </c>
      <c r="D119" t="s">
        <v>701</v>
      </c>
      <c r="E119" t="s">
        <v>702</v>
      </c>
      <c r="F119" t="s">
        <v>205</v>
      </c>
      <c r="G119" t="s">
        <v>206</v>
      </c>
      <c r="H119" t="s">
        <v>703</v>
      </c>
      <c r="I119" t="s">
        <v>704</v>
      </c>
      <c r="J119" t="s">
        <v>74</v>
      </c>
      <c r="K119" t="s">
        <v>94</v>
      </c>
      <c r="L119" t="s">
        <v>94</v>
      </c>
      <c r="M119" t="s">
        <v>219</v>
      </c>
      <c r="N119" t="s">
        <v>133</v>
      </c>
      <c r="O119">
        <v>55884.65</v>
      </c>
      <c r="P119">
        <v>17990.57</v>
      </c>
      <c r="Q119">
        <v>0.321923283048207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2</v>
      </c>
      <c r="X119">
        <v>2</v>
      </c>
      <c r="Y119">
        <v>0</v>
      </c>
      <c r="Z119">
        <v>16072.4858690889</v>
      </c>
      <c r="AA119">
        <v>5624.1793589239596</v>
      </c>
      <c r="AB119">
        <v>24420.163805880999</v>
      </c>
      <c r="AC119">
        <v>8491.7031219175497</v>
      </c>
      <c r="AD119">
        <v>15286.5258128349</v>
      </c>
      <c r="AE119">
        <v>5408.6905649734099</v>
      </c>
      <c r="AF119">
        <v>55779.175487804801</v>
      </c>
      <c r="AG119">
        <v>19524.573045814901</v>
      </c>
      <c r="AH119">
        <v>0</v>
      </c>
      <c r="AI119">
        <v>2</v>
      </c>
      <c r="AJ119">
        <v>0</v>
      </c>
      <c r="AK119">
        <v>2</v>
      </c>
      <c r="AL119">
        <v>24.2</v>
      </c>
      <c r="AM119">
        <v>0</v>
      </c>
      <c r="AN119" t="s">
        <v>103</v>
      </c>
      <c r="AO119" t="b">
        <v>0</v>
      </c>
      <c r="AP119" t="s">
        <v>103</v>
      </c>
      <c r="AQ119">
        <v>0</v>
      </c>
      <c r="AR119">
        <v>1</v>
      </c>
      <c r="AS119">
        <v>1.4412067192320801</v>
      </c>
      <c r="AT119">
        <v>1</v>
      </c>
      <c r="AU119">
        <v>6.2642634210279597</v>
      </c>
      <c r="AV119">
        <v>2.2551133831254102</v>
      </c>
      <c r="AW119">
        <v>2.3746243266655198</v>
      </c>
      <c r="AX119">
        <v>122</v>
      </c>
      <c r="AY119">
        <v>50</v>
      </c>
      <c r="AZ119">
        <v>4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2</v>
      </c>
      <c r="BG119">
        <v>0</v>
      </c>
      <c r="BH119">
        <v>0</v>
      </c>
      <c r="BI119">
        <v>2</v>
      </c>
      <c r="BJ119">
        <v>4</v>
      </c>
      <c r="BK119">
        <v>2.3746243266655198</v>
      </c>
      <c r="BL119">
        <v>122</v>
      </c>
      <c r="BM119">
        <v>50</v>
      </c>
      <c r="BN119">
        <v>4.7472925353326403</v>
      </c>
      <c r="BO119">
        <v>26775.493534212899</v>
      </c>
      <c r="BP119" t="s">
        <v>705</v>
      </c>
      <c r="BQ119" t="s">
        <v>889</v>
      </c>
      <c r="BR119" cm="1">
        <f t="array" ref="BR119">IF($AP119="ארצי",SUMPRODUCT(($AP$2:$AP$143="ארצי")*($BK$2:$BK$143&gt;$BK119))+1,SUMPRODUCT(($AP$2:$AP$143=$AP119)*($L$2:$L$143=$L119)*($BK$2:$BK$143&gt;$BK119))+1)</f>
        <v>34</v>
      </c>
    </row>
    <row r="120" spans="1:70" x14ac:dyDescent="0.25">
      <c r="A120">
        <v>710</v>
      </c>
      <c r="B120">
        <v>34.845988723278097</v>
      </c>
      <c r="C120">
        <v>32.0456108497754</v>
      </c>
      <c r="D120" t="s">
        <v>706</v>
      </c>
      <c r="E120" t="s">
        <v>707</v>
      </c>
      <c r="F120" t="s">
        <v>205</v>
      </c>
      <c r="G120" t="s">
        <v>206</v>
      </c>
      <c r="H120" t="s">
        <v>605</v>
      </c>
      <c r="I120" t="s">
        <v>606</v>
      </c>
      <c r="J120" t="s">
        <v>74</v>
      </c>
      <c r="K120" t="s">
        <v>94</v>
      </c>
      <c r="L120" t="s">
        <v>94</v>
      </c>
      <c r="M120" t="s">
        <v>142</v>
      </c>
      <c r="N120" t="s">
        <v>133</v>
      </c>
      <c r="O120">
        <v>43262.25</v>
      </c>
      <c r="P120">
        <v>5781.33</v>
      </c>
      <c r="Q120">
        <v>0.133634519702512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2</v>
      </c>
      <c r="X120">
        <v>2</v>
      </c>
      <c r="Y120">
        <v>0</v>
      </c>
      <c r="Z120">
        <v>14783.4003057504</v>
      </c>
      <c r="AA120">
        <v>10159.5063811277</v>
      </c>
      <c r="AB120">
        <v>25092.458544329798</v>
      </c>
      <c r="AC120">
        <v>11585.749984324701</v>
      </c>
      <c r="AD120">
        <v>15293.090922089599</v>
      </c>
      <c r="AE120">
        <v>6982.8376082219002</v>
      </c>
      <c r="AF120">
        <v>55168.949772169901</v>
      </c>
      <c r="AG120">
        <v>28728.0939736744</v>
      </c>
      <c r="AH120">
        <v>0</v>
      </c>
      <c r="AI120">
        <v>2</v>
      </c>
      <c r="AJ120">
        <v>0</v>
      </c>
      <c r="AK120">
        <v>2</v>
      </c>
      <c r="AL120">
        <v>24.2</v>
      </c>
      <c r="AM120">
        <v>0</v>
      </c>
      <c r="AN120" t="s">
        <v>103</v>
      </c>
      <c r="AO120" t="b">
        <v>0</v>
      </c>
      <c r="AP120" t="s">
        <v>103</v>
      </c>
      <c r="AQ120">
        <v>0</v>
      </c>
      <c r="AR120">
        <v>1</v>
      </c>
      <c r="AS120">
        <v>1.4412067192320801</v>
      </c>
      <c r="AT120">
        <v>1</v>
      </c>
      <c r="AU120">
        <v>5.6998635573917698</v>
      </c>
      <c r="AV120">
        <v>2.6034255592643598</v>
      </c>
      <c r="AW120">
        <v>2.3593721564327801</v>
      </c>
      <c r="AX120">
        <v>123</v>
      </c>
      <c r="AY120">
        <v>51</v>
      </c>
      <c r="AZ120">
        <v>4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2</v>
      </c>
      <c r="BG120">
        <v>0</v>
      </c>
      <c r="BH120">
        <v>0</v>
      </c>
      <c r="BI120">
        <v>2</v>
      </c>
      <c r="BJ120">
        <v>4</v>
      </c>
      <c r="BK120">
        <v>2.3593721564327801</v>
      </c>
      <c r="BL120">
        <v>123</v>
      </c>
      <c r="BM120">
        <v>51</v>
      </c>
      <c r="BN120">
        <v>4.6361091026475298</v>
      </c>
      <c r="BO120">
        <v>34016.265133373498</v>
      </c>
      <c r="BP120" t="s">
        <v>708</v>
      </c>
      <c r="BQ120" t="s">
        <v>874</v>
      </c>
      <c r="BR120" cm="1">
        <f t="array" ref="BR120">IF($AP120="ארצי",SUMPRODUCT(($AP$2:$AP$143="ארצי")*($BK$2:$BK$143&gt;$BK120))+1,SUMPRODUCT(($AP$2:$AP$143=$AP120)*($L$2:$L$143=$L120)*($BK$2:$BK$143&gt;$BK120))+1)</f>
        <v>35</v>
      </c>
    </row>
    <row r="121" spans="1:70" x14ac:dyDescent="0.25">
      <c r="A121">
        <v>1</v>
      </c>
      <c r="B121">
        <v>34.986264484123403</v>
      </c>
      <c r="C121">
        <v>32.312690245683797</v>
      </c>
      <c r="D121" t="s">
        <v>709</v>
      </c>
      <c r="E121" t="s">
        <v>710</v>
      </c>
      <c r="F121" t="s">
        <v>128</v>
      </c>
      <c r="G121" t="s">
        <v>129</v>
      </c>
      <c r="H121" t="s">
        <v>154</v>
      </c>
      <c r="I121" t="s">
        <v>155</v>
      </c>
      <c r="J121" t="s">
        <v>74</v>
      </c>
      <c r="K121" t="s">
        <v>94</v>
      </c>
      <c r="L121" t="s">
        <v>94</v>
      </c>
      <c r="M121" t="s">
        <v>132</v>
      </c>
      <c r="N121" t="s">
        <v>133</v>
      </c>
      <c r="O121">
        <v>2773.04</v>
      </c>
      <c r="P121">
        <v>1075.3499999999999</v>
      </c>
      <c r="Q121">
        <v>0.38778741020684798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1</v>
      </c>
      <c r="X121">
        <v>0</v>
      </c>
      <c r="Y121">
        <v>0</v>
      </c>
      <c r="Z121">
        <v>508.65597198245501</v>
      </c>
      <c r="AA121">
        <v>189.54981898078799</v>
      </c>
      <c r="AB121">
        <v>1201.5489555812801</v>
      </c>
      <c r="AC121">
        <v>427.76147490083503</v>
      </c>
      <c r="AD121">
        <v>1389.7977608245001</v>
      </c>
      <c r="AE121">
        <v>433.06057865090798</v>
      </c>
      <c r="AF121">
        <v>3100.0026883882501</v>
      </c>
      <c r="AG121">
        <v>1050.37187253253</v>
      </c>
      <c r="AH121">
        <v>0</v>
      </c>
      <c r="AI121">
        <v>2</v>
      </c>
      <c r="AJ121">
        <v>0</v>
      </c>
      <c r="AK121">
        <v>2</v>
      </c>
      <c r="AL121">
        <v>9.9</v>
      </c>
      <c r="AM121">
        <v>0</v>
      </c>
      <c r="AN121" t="s">
        <v>134</v>
      </c>
      <c r="AO121" t="b">
        <v>0</v>
      </c>
      <c r="AP121" t="s">
        <v>134</v>
      </c>
      <c r="AQ121">
        <v>0</v>
      </c>
      <c r="AR121">
        <v>1</v>
      </c>
      <c r="AS121">
        <v>1</v>
      </c>
      <c r="AT121">
        <v>1</v>
      </c>
      <c r="AU121">
        <v>3.1113348510274501</v>
      </c>
      <c r="AV121">
        <v>1.03734387987372</v>
      </c>
      <c r="AW121">
        <v>2.3335392228627998</v>
      </c>
      <c r="AX121">
        <v>124</v>
      </c>
      <c r="AY121">
        <v>25</v>
      </c>
      <c r="AZ121">
        <v>2</v>
      </c>
      <c r="BA121">
        <v>0</v>
      </c>
      <c r="BB121">
        <v>0</v>
      </c>
      <c r="BC121">
        <v>2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2</v>
      </c>
      <c r="BJ121">
        <v>2</v>
      </c>
      <c r="BK121">
        <v>2.3335392228627998</v>
      </c>
      <c r="BL121">
        <v>124</v>
      </c>
      <c r="BM121">
        <v>25</v>
      </c>
      <c r="BN121">
        <v>3.4429561341483499</v>
      </c>
      <c r="BO121">
        <v>1460.2980357036699</v>
      </c>
      <c r="BP121" t="s">
        <v>711</v>
      </c>
      <c r="BQ121" t="s">
        <v>809</v>
      </c>
      <c r="BR121" cm="1">
        <f t="array" ref="BR121">IF($AP121="ארצי",SUMPRODUCT(($AP$2:$AP$143="ארצי")*($BK$2:$BK$143&gt;$BK121))+1,SUMPRODUCT(($AP$2:$AP$143=$AP121)*($L$2:$L$143=$L121)*($BK$2:$BK$143&gt;$BK121))+1)</f>
        <v>25</v>
      </c>
    </row>
    <row r="122" spans="1:70" x14ac:dyDescent="0.25">
      <c r="A122">
        <v>369</v>
      </c>
      <c r="B122">
        <v>34.829901811458797</v>
      </c>
      <c r="C122">
        <v>31.964780419339299</v>
      </c>
      <c r="D122" t="s">
        <v>712</v>
      </c>
      <c r="E122" t="s">
        <v>713</v>
      </c>
      <c r="F122" t="s">
        <v>714</v>
      </c>
      <c r="G122" t="s">
        <v>715</v>
      </c>
      <c r="H122" t="s">
        <v>716</v>
      </c>
      <c r="I122" t="s">
        <v>420</v>
      </c>
      <c r="J122" t="s">
        <v>74</v>
      </c>
      <c r="K122" t="s">
        <v>94</v>
      </c>
      <c r="L122" t="s">
        <v>94</v>
      </c>
      <c r="M122" t="s">
        <v>219</v>
      </c>
      <c r="N122" t="s">
        <v>133</v>
      </c>
      <c r="O122">
        <v>4837.68</v>
      </c>
      <c r="P122">
        <v>4.8076E-4</v>
      </c>
      <c r="Q122" s="1">
        <v>9.9378214350680402E-8</v>
      </c>
      <c r="R122">
        <v>3</v>
      </c>
      <c r="S122">
        <v>0</v>
      </c>
      <c r="T122">
        <v>0</v>
      </c>
      <c r="U122">
        <v>0</v>
      </c>
      <c r="V122">
        <v>0</v>
      </c>
      <c r="W122">
        <v>7</v>
      </c>
      <c r="X122">
        <v>0</v>
      </c>
      <c r="Y122">
        <v>0</v>
      </c>
      <c r="Z122">
        <v>8040.1884692534404</v>
      </c>
      <c r="AA122">
        <v>1760.4850863481299</v>
      </c>
      <c r="AB122">
        <v>14709.7210619538</v>
      </c>
      <c r="AC122">
        <v>5978.0012863370803</v>
      </c>
      <c r="AD122">
        <v>12568.9125595442</v>
      </c>
      <c r="AE122">
        <v>6186.8831828370203</v>
      </c>
      <c r="AF122">
        <v>35318.822090751601</v>
      </c>
      <c r="AG122">
        <v>13925.3695555222</v>
      </c>
      <c r="AH122">
        <v>0</v>
      </c>
      <c r="AI122">
        <v>2</v>
      </c>
      <c r="AJ122">
        <v>0</v>
      </c>
      <c r="AK122">
        <v>2</v>
      </c>
      <c r="AL122">
        <v>51.7</v>
      </c>
      <c r="AM122">
        <v>0</v>
      </c>
      <c r="AN122" t="s">
        <v>143</v>
      </c>
      <c r="AO122" t="b">
        <v>0</v>
      </c>
      <c r="AP122" t="s">
        <v>143</v>
      </c>
      <c r="AQ122">
        <v>0</v>
      </c>
      <c r="AR122">
        <v>1</v>
      </c>
      <c r="AS122">
        <v>2.2896811792937899</v>
      </c>
      <c r="AT122">
        <v>1</v>
      </c>
      <c r="AU122">
        <v>3.8821851407877102</v>
      </c>
      <c r="AV122">
        <v>2.4602607681963602</v>
      </c>
      <c r="AW122">
        <v>2.33238419096674</v>
      </c>
      <c r="AX122">
        <v>125</v>
      </c>
      <c r="AY122">
        <v>34</v>
      </c>
      <c r="AZ122">
        <v>10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6</v>
      </c>
      <c r="BG122">
        <v>0</v>
      </c>
      <c r="BH122">
        <v>0</v>
      </c>
      <c r="BI122">
        <v>6</v>
      </c>
      <c r="BJ122">
        <v>10</v>
      </c>
      <c r="BK122">
        <v>2.33238419096674</v>
      </c>
      <c r="BL122">
        <v>125</v>
      </c>
      <c r="BM122">
        <v>34</v>
      </c>
      <c r="BN122">
        <v>3.6846371375209999</v>
      </c>
      <c r="BO122">
        <v>31040.131583705701</v>
      </c>
      <c r="BP122" t="s">
        <v>717</v>
      </c>
      <c r="BQ122" t="s">
        <v>846</v>
      </c>
      <c r="BR122" cm="1">
        <f t="array" ref="BR122">IF($AP122="ארצי",SUMPRODUCT(($AP$2:$AP$143="ארצי")*($BK$2:$BK$143&gt;$BK122))+1,SUMPRODUCT(($AP$2:$AP$143=$AP122)*($L$2:$L$143=$L122)*($BK$2:$BK$143&gt;$BK122))+1)</f>
        <v>20</v>
      </c>
    </row>
    <row r="123" spans="1:70" x14ac:dyDescent="0.25">
      <c r="A123">
        <v>892</v>
      </c>
      <c r="B123">
        <v>34.547903429682201</v>
      </c>
      <c r="C123">
        <v>31.639444956432701</v>
      </c>
      <c r="D123" t="s">
        <v>718</v>
      </c>
      <c r="E123" t="s">
        <v>719</v>
      </c>
      <c r="F123" t="s">
        <v>138</v>
      </c>
      <c r="G123" t="s">
        <v>139</v>
      </c>
      <c r="H123" t="s">
        <v>720</v>
      </c>
      <c r="I123" t="s">
        <v>721</v>
      </c>
      <c r="J123" t="s">
        <v>74</v>
      </c>
      <c r="K123" t="s">
        <v>275</v>
      </c>
      <c r="L123" t="s">
        <v>275</v>
      </c>
      <c r="M123" t="s">
        <v>276</v>
      </c>
      <c r="N123" t="s">
        <v>277</v>
      </c>
      <c r="O123">
        <v>5155.3905206999998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4</v>
      </c>
      <c r="X123">
        <v>0</v>
      </c>
      <c r="Y123">
        <v>0</v>
      </c>
      <c r="Z123">
        <v>376.74776075672901</v>
      </c>
      <c r="AA123">
        <v>1321.5120983336401</v>
      </c>
      <c r="AB123">
        <v>1954.4912937680999</v>
      </c>
      <c r="AC123">
        <v>2414.25693122649</v>
      </c>
      <c r="AD123">
        <v>2631.2116467491901</v>
      </c>
      <c r="AE123">
        <v>1778.0402584978101</v>
      </c>
      <c r="AF123">
        <v>4962.4507012740296</v>
      </c>
      <c r="AG123">
        <v>5513.8092880579497</v>
      </c>
      <c r="AH123">
        <v>1</v>
      </c>
      <c r="AI123">
        <v>1</v>
      </c>
      <c r="AJ123">
        <v>1</v>
      </c>
      <c r="AK123">
        <v>2</v>
      </c>
      <c r="AL123">
        <v>26.4</v>
      </c>
      <c r="AM123">
        <v>0</v>
      </c>
      <c r="AN123" t="s">
        <v>143</v>
      </c>
      <c r="AO123" t="b">
        <v>0</v>
      </c>
      <c r="AP123" t="s">
        <v>143</v>
      </c>
      <c r="AQ123">
        <v>0</v>
      </c>
      <c r="AR123">
        <v>4</v>
      </c>
      <c r="AS123">
        <v>1.50908467603702</v>
      </c>
      <c r="AT123">
        <v>1</v>
      </c>
      <c r="AU123">
        <v>4.0176017630323004</v>
      </c>
      <c r="AV123">
        <v>1.2111169896484599</v>
      </c>
      <c r="AW123">
        <v>2.3250610684642399</v>
      </c>
      <c r="AX123">
        <v>126</v>
      </c>
      <c r="AY123">
        <v>35</v>
      </c>
      <c r="AZ123">
        <v>5</v>
      </c>
      <c r="BA123">
        <v>0</v>
      </c>
      <c r="BB123">
        <v>0</v>
      </c>
      <c r="BC123">
        <v>5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5</v>
      </c>
      <c r="BJ123">
        <v>5</v>
      </c>
      <c r="BK123">
        <v>2.3250610684642399</v>
      </c>
      <c r="BL123">
        <v>126</v>
      </c>
      <c r="BM123">
        <v>35</v>
      </c>
      <c r="BN123">
        <v>3.7122615686614902</v>
      </c>
      <c r="BO123">
        <v>5072.7224186308204</v>
      </c>
      <c r="BP123" t="s">
        <v>901</v>
      </c>
      <c r="BQ123" t="s">
        <v>890</v>
      </c>
      <c r="BR123" cm="1">
        <f t="array" ref="BR123">IF($AP123="ארצי",SUMPRODUCT(($AP$2:$AP$143="ארצי")*($BK$2:$BK$143&gt;$BK123))+1,SUMPRODUCT(($AP$2:$AP$143=$AP123)*($L$2:$L$143=$L123)*($BK$2:$BK$143&gt;$BK123))+1)</f>
        <v>5</v>
      </c>
    </row>
    <row r="124" spans="1:70" x14ac:dyDescent="0.25">
      <c r="A124">
        <v>30</v>
      </c>
      <c r="B124">
        <v>34.875966340717802</v>
      </c>
      <c r="C124">
        <v>32.324653740972799</v>
      </c>
      <c r="D124" t="s">
        <v>722</v>
      </c>
      <c r="E124" t="s">
        <v>723</v>
      </c>
      <c r="F124" t="s">
        <v>128</v>
      </c>
      <c r="G124" t="s">
        <v>129</v>
      </c>
      <c r="H124" t="s">
        <v>724</v>
      </c>
      <c r="I124" t="s">
        <v>590</v>
      </c>
      <c r="J124" t="s">
        <v>74</v>
      </c>
      <c r="K124" t="s">
        <v>94</v>
      </c>
      <c r="L124" t="s">
        <v>94</v>
      </c>
      <c r="M124" t="s">
        <v>132</v>
      </c>
      <c r="N124" t="s">
        <v>133</v>
      </c>
      <c r="O124">
        <v>18579.27</v>
      </c>
      <c r="P124">
        <v>16195.19</v>
      </c>
      <c r="Q124">
        <v>0.87168064191973005</v>
      </c>
      <c r="R124">
        <v>2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0</v>
      </c>
      <c r="Y124">
        <v>0</v>
      </c>
      <c r="Z124">
        <v>1370.81758896973</v>
      </c>
      <c r="AA124">
        <v>4490.5079934222003</v>
      </c>
      <c r="AB124">
        <v>6333.7121998262801</v>
      </c>
      <c r="AC124">
        <v>7331.9416144970301</v>
      </c>
      <c r="AD124">
        <v>7267.9542848949504</v>
      </c>
      <c r="AE124">
        <v>4526.1223383697197</v>
      </c>
      <c r="AF124">
        <v>14972.484073690899</v>
      </c>
      <c r="AG124">
        <v>16348.571946288899</v>
      </c>
      <c r="AH124">
        <v>0</v>
      </c>
      <c r="AI124">
        <v>2</v>
      </c>
      <c r="AJ124">
        <v>0</v>
      </c>
      <c r="AK124">
        <v>2</v>
      </c>
      <c r="AL124">
        <v>19.8</v>
      </c>
      <c r="AM124">
        <v>0</v>
      </c>
      <c r="AN124" t="s">
        <v>143</v>
      </c>
      <c r="AO124" t="b">
        <v>0</v>
      </c>
      <c r="AP124" t="s">
        <v>143</v>
      </c>
      <c r="AQ124">
        <v>0</v>
      </c>
      <c r="AR124">
        <v>1</v>
      </c>
      <c r="AS124">
        <v>1.3054508056222101</v>
      </c>
      <c r="AT124">
        <v>1</v>
      </c>
      <c r="AU124">
        <v>6.7469074496581802</v>
      </c>
      <c r="AV124">
        <v>1.7005771402813601</v>
      </c>
      <c r="AW124">
        <v>2.3143484296219601</v>
      </c>
      <c r="AX124">
        <v>127</v>
      </c>
      <c r="AY124">
        <v>36</v>
      </c>
      <c r="AZ124">
        <v>4</v>
      </c>
      <c r="BA124">
        <v>0</v>
      </c>
      <c r="BB124">
        <v>0</v>
      </c>
      <c r="BC124">
        <v>4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4</v>
      </c>
      <c r="BJ124">
        <v>4</v>
      </c>
      <c r="BK124">
        <v>2.3143484296219601</v>
      </c>
      <c r="BL124">
        <v>127</v>
      </c>
      <c r="BM124">
        <v>36</v>
      </c>
      <c r="BN124">
        <v>4.2690286460838802</v>
      </c>
      <c r="BO124">
        <v>15247.701648210499</v>
      </c>
      <c r="BP124" t="s">
        <v>725</v>
      </c>
      <c r="BQ124" t="s">
        <v>872</v>
      </c>
      <c r="BR124" cm="1">
        <f t="array" ref="BR124">IF($AP124="ארצי",SUMPRODUCT(($AP$2:$AP$143="ארצי")*($BK$2:$BK$143&gt;$BK124))+1,SUMPRODUCT(($AP$2:$AP$143=$AP124)*($L$2:$L$143=$L124)*($BK$2:$BK$143&gt;$BK124))+1)</f>
        <v>21</v>
      </c>
    </row>
    <row r="125" spans="1:70" x14ac:dyDescent="0.25">
      <c r="A125">
        <v>180</v>
      </c>
      <c r="B125">
        <v>34.842779817757098</v>
      </c>
      <c r="C125">
        <v>32.167229331013097</v>
      </c>
      <c r="D125" t="s">
        <v>726</v>
      </c>
      <c r="E125" t="s">
        <v>727</v>
      </c>
      <c r="F125" t="s">
        <v>538</v>
      </c>
      <c r="G125" t="s">
        <v>539</v>
      </c>
      <c r="H125" t="s">
        <v>350</v>
      </c>
      <c r="I125" t="s">
        <v>351</v>
      </c>
      <c r="J125" t="s">
        <v>74</v>
      </c>
      <c r="K125" t="s">
        <v>94</v>
      </c>
      <c r="L125" t="s">
        <v>94</v>
      </c>
      <c r="M125" t="s">
        <v>142</v>
      </c>
      <c r="N125" t="s">
        <v>133</v>
      </c>
      <c r="O125">
        <v>46120.54</v>
      </c>
      <c r="P125">
        <v>18353.080000000002</v>
      </c>
      <c r="Q125">
        <v>0.39793723143744603</v>
      </c>
      <c r="R125">
        <v>2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2</v>
      </c>
      <c r="Y125">
        <v>0</v>
      </c>
      <c r="Z125">
        <v>15532.2648273862</v>
      </c>
      <c r="AA125">
        <v>6964.5414906259402</v>
      </c>
      <c r="AB125">
        <v>26460.167160893699</v>
      </c>
      <c r="AC125">
        <v>11104.0470478849</v>
      </c>
      <c r="AD125">
        <v>15631.7336115581</v>
      </c>
      <c r="AE125">
        <v>6108.1365936429402</v>
      </c>
      <c r="AF125">
        <v>57624.165599838103</v>
      </c>
      <c r="AG125">
        <v>24176.725132153799</v>
      </c>
      <c r="AH125">
        <v>0</v>
      </c>
      <c r="AI125">
        <v>2</v>
      </c>
      <c r="AJ125">
        <v>0</v>
      </c>
      <c r="AK125">
        <v>2</v>
      </c>
      <c r="AL125">
        <v>22</v>
      </c>
      <c r="AM125">
        <v>0</v>
      </c>
      <c r="AN125" t="s">
        <v>103</v>
      </c>
      <c r="AO125" t="b">
        <v>0</v>
      </c>
      <c r="AP125" t="s">
        <v>103</v>
      </c>
      <c r="AQ125">
        <v>0</v>
      </c>
      <c r="AR125">
        <v>1</v>
      </c>
      <c r="AS125">
        <v>1.37332876242715</v>
      </c>
      <c r="AT125">
        <v>1</v>
      </c>
      <c r="AU125">
        <v>5.8409098300556801</v>
      </c>
      <c r="AV125">
        <v>2.4518945490826698</v>
      </c>
      <c r="AW125">
        <v>2.3043021008721398</v>
      </c>
      <c r="AX125">
        <v>128</v>
      </c>
      <c r="AY125">
        <v>52</v>
      </c>
      <c r="AZ125">
        <v>4</v>
      </c>
      <c r="BA125">
        <v>2</v>
      </c>
      <c r="BB125">
        <v>0</v>
      </c>
      <c r="BC125">
        <v>0</v>
      </c>
      <c r="BD125">
        <v>0</v>
      </c>
      <c r="BE125">
        <v>0</v>
      </c>
      <c r="BF125">
        <v>2</v>
      </c>
      <c r="BG125">
        <v>0</v>
      </c>
      <c r="BH125">
        <v>0</v>
      </c>
      <c r="BI125">
        <v>4</v>
      </c>
      <c r="BJ125">
        <v>4</v>
      </c>
      <c r="BK125">
        <v>2.3043021008721398</v>
      </c>
      <c r="BL125">
        <v>128</v>
      </c>
      <c r="BM125">
        <v>52</v>
      </c>
      <c r="BN125">
        <v>4.6638943835673103</v>
      </c>
      <c r="BO125">
        <v>30866.213225690601</v>
      </c>
      <c r="BP125" t="s">
        <v>728</v>
      </c>
      <c r="BQ125" t="s">
        <v>836</v>
      </c>
      <c r="BR125" cm="1">
        <f t="array" ref="BR125">IF($AP125="ארצי",SUMPRODUCT(($AP$2:$AP$143="ארצי")*($BK$2:$BK$143&gt;$BK125))+1,SUMPRODUCT(($AP$2:$AP$143=$AP125)*($L$2:$L$143=$L125)*($BK$2:$BK$143&gt;$BK125))+1)</f>
        <v>36</v>
      </c>
    </row>
    <row r="126" spans="1:70" x14ac:dyDescent="0.25">
      <c r="A126">
        <v>707</v>
      </c>
      <c r="B126">
        <v>34.854493109240103</v>
      </c>
      <c r="C126">
        <v>32.0331496806117</v>
      </c>
      <c r="D126" t="s">
        <v>729</v>
      </c>
      <c r="E126" t="s">
        <v>730</v>
      </c>
      <c r="F126" t="s">
        <v>205</v>
      </c>
      <c r="G126" t="s">
        <v>206</v>
      </c>
      <c r="H126" t="s">
        <v>605</v>
      </c>
      <c r="I126" t="s">
        <v>606</v>
      </c>
      <c r="J126" t="s">
        <v>74</v>
      </c>
      <c r="K126" t="s">
        <v>94</v>
      </c>
      <c r="L126" t="s">
        <v>94</v>
      </c>
      <c r="M126" t="s">
        <v>142</v>
      </c>
      <c r="N126" t="s">
        <v>133</v>
      </c>
      <c r="O126">
        <v>44049.73</v>
      </c>
      <c r="P126">
        <v>27365.4</v>
      </c>
      <c r="Q126">
        <v>0.62123876809233503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2</v>
      </c>
      <c r="X126">
        <v>2</v>
      </c>
      <c r="Y126">
        <v>0</v>
      </c>
      <c r="Z126">
        <v>14844.5169159915</v>
      </c>
      <c r="AA126">
        <v>5203.9624803786901</v>
      </c>
      <c r="AB126">
        <v>28416.941095116999</v>
      </c>
      <c r="AC126">
        <v>11262.212060866301</v>
      </c>
      <c r="AD126">
        <v>18684.749996558101</v>
      </c>
      <c r="AE126">
        <v>8303.6080003932402</v>
      </c>
      <c r="AF126">
        <v>61946.208007666697</v>
      </c>
      <c r="AG126">
        <v>24769.782541638298</v>
      </c>
      <c r="AH126">
        <v>0</v>
      </c>
      <c r="AI126">
        <v>2</v>
      </c>
      <c r="AJ126">
        <v>0</v>
      </c>
      <c r="AK126">
        <v>2</v>
      </c>
      <c r="AL126">
        <v>24.2</v>
      </c>
      <c r="AM126">
        <v>0</v>
      </c>
      <c r="AN126" t="s">
        <v>103</v>
      </c>
      <c r="AO126" t="b">
        <v>0</v>
      </c>
      <c r="AP126" t="s">
        <v>103</v>
      </c>
      <c r="AQ126">
        <v>0</v>
      </c>
      <c r="AR126">
        <v>1</v>
      </c>
      <c r="AS126">
        <v>1.4412067192320801</v>
      </c>
      <c r="AT126">
        <v>1</v>
      </c>
      <c r="AU126">
        <v>5.7396320015621596</v>
      </c>
      <c r="AV126">
        <v>2.5162991897206202</v>
      </c>
      <c r="AW126">
        <v>2.27619648692666</v>
      </c>
      <c r="AX126">
        <v>129</v>
      </c>
      <c r="AY126">
        <v>53</v>
      </c>
      <c r="AZ126">
        <v>4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2</v>
      </c>
      <c r="BG126">
        <v>0</v>
      </c>
      <c r="BH126">
        <v>0</v>
      </c>
      <c r="BI126">
        <v>2</v>
      </c>
      <c r="BJ126">
        <v>4</v>
      </c>
      <c r="BK126">
        <v>2.27619648692666</v>
      </c>
      <c r="BL126">
        <v>129</v>
      </c>
      <c r="BM126">
        <v>53</v>
      </c>
      <c r="BN126">
        <v>4.6439432507760001</v>
      </c>
      <c r="BO126">
        <v>32205.067634843999</v>
      </c>
      <c r="BP126" t="s">
        <v>731</v>
      </c>
      <c r="BQ126" t="s">
        <v>874</v>
      </c>
      <c r="BR126" cm="1">
        <f t="array" ref="BR126">IF($AP126="ארצי",SUMPRODUCT(($AP$2:$AP$143="ארצי")*($BK$2:$BK$143&gt;$BK126))+1,SUMPRODUCT(($AP$2:$AP$143=$AP126)*($L$2:$L$143=$L126)*($BK$2:$BK$143&gt;$BK126))+1)</f>
        <v>37</v>
      </c>
    </row>
    <row r="127" spans="1:70" x14ac:dyDescent="0.25">
      <c r="A127">
        <v>9</v>
      </c>
      <c r="B127">
        <v>34.964212276113599</v>
      </c>
      <c r="C127">
        <v>32.315090065588102</v>
      </c>
      <c r="D127" t="s">
        <v>732</v>
      </c>
      <c r="E127" t="s">
        <v>733</v>
      </c>
      <c r="F127" t="s">
        <v>128</v>
      </c>
      <c r="G127" t="s">
        <v>129</v>
      </c>
      <c r="H127" t="s">
        <v>154</v>
      </c>
      <c r="I127" t="s">
        <v>155</v>
      </c>
      <c r="J127" t="s">
        <v>74</v>
      </c>
      <c r="K127" t="s">
        <v>94</v>
      </c>
      <c r="L127" t="s">
        <v>94</v>
      </c>
      <c r="M127" t="s">
        <v>132</v>
      </c>
      <c r="N127" t="s">
        <v>133</v>
      </c>
      <c r="O127">
        <v>2409.87</v>
      </c>
      <c r="P127" s="1">
        <v>9.9500000000000006E-5</v>
      </c>
      <c r="Q127" s="1">
        <v>4.1288534236286601E-8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1</v>
      </c>
      <c r="X127">
        <v>0</v>
      </c>
      <c r="Y127">
        <v>0</v>
      </c>
      <c r="Z127">
        <v>434.02008636058503</v>
      </c>
      <c r="AA127">
        <v>176.222845281996</v>
      </c>
      <c r="AB127">
        <v>1039.2961226345799</v>
      </c>
      <c r="AC127">
        <v>403.24410060411401</v>
      </c>
      <c r="AD127">
        <v>1290.8683036075099</v>
      </c>
      <c r="AE127">
        <v>473.62890073630501</v>
      </c>
      <c r="AF127">
        <v>2764.1845126026801</v>
      </c>
      <c r="AG127">
        <v>1053.0958466224099</v>
      </c>
      <c r="AH127">
        <v>0</v>
      </c>
      <c r="AI127">
        <v>2</v>
      </c>
      <c r="AJ127">
        <v>0</v>
      </c>
      <c r="AK127">
        <v>2</v>
      </c>
      <c r="AL127">
        <v>9.9</v>
      </c>
      <c r="AM127">
        <v>0</v>
      </c>
      <c r="AN127" t="s">
        <v>134</v>
      </c>
      <c r="AO127" t="b">
        <v>0</v>
      </c>
      <c r="AP127" t="s">
        <v>134</v>
      </c>
      <c r="AQ127">
        <v>0</v>
      </c>
      <c r="AR127">
        <v>1</v>
      </c>
      <c r="AS127">
        <v>1</v>
      </c>
      <c r="AT127">
        <v>1</v>
      </c>
      <c r="AU127">
        <v>2.7382424819776801</v>
      </c>
      <c r="AV127">
        <v>1.0342178487685201</v>
      </c>
      <c r="AW127">
        <v>2.2467028484796798</v>
      </c>
      <c r="AX127">
        <v>130</v>
      </c>
      <c r="AY127">
        <v>26</v>
      </c>
      <c r="AZ127">
        <v>2</v>
      </c>
      <c r="BA127">
        <v>0</v>
      </c>
      <c r="BB127">
        <v>0</v>
      </c>
      <c r="BC127">
        <v>2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2</v>
      </c>
      <c r="BJ127">
        <v>2</v>
      </c>
      <c r="BK127">
        <v>2.2467028484796798</v>
      </c>
      <c r="BL127">
        <v>130</v>
      </c>
      <c r="BM127">
        <v>26</v>
      </c>
      <c r="BN127">
        <v>3.3819936152697001</v>
      </c>
      <c r="BO127">
        <v>1395.3135798184601</v>
      </c>
      <c r="BP127" t="s">
        <v>734</v>
      </c>
      <c r="BQ127" t="s">
        <v>809</v>
      </c>
      <c r="BR127" cm="1">
        <f t="array" ref="BR127">IF($AP127="ארצי",SUMPRODUCT(($AP$2:$AP$143="ארצי")*($BK$2:$BK$143&gt;$BK127))+1,SUMPRODUCT(($AP$2:$AP$143=$AP127)*($L$2:$L$143=$L127)*($BK$2:$BK$143&gt;$BK127))+1)</f>
        <v>26</v>
      </c>
    </row>
    <row r="128" spans="1:70" x14ac:dyDescent="0.25">
      <c r="A128">
        <v>432</v>
      </c>
      <c r="B128">
        <v>34.903416512923798</v>
      </c>
      <c r="C128">
        <v>32.083232770157103</v>
      </c>
      <c r="D128" t="s">
        <v>735</v>
      </c>
      <c r="E128" t="s">
        <v>736</v>
      </c>
      <c r="F128" t="s">
        <v>538</v>
      </c>
      <c r="G128" t="s">
        <v>539</v>
      </c>
      <c r="H128" t="s">
        <v>737</v>
      </c>
      <c r="I128" t="s">
        <v>738</v>
      </c>
      <c r="J128" t="s">
        <v>74</v>
      </c>
      <c r="K128" t="s">
        <v>94</v>
      </c>
      <c r="L128" t="s">
        <v>94</v>
      </c>
      <c r="M128" t="s">
        <v>219</v>
      </c>
      <c r="N128" t="s">
        <v>133</v>
      </c>
      <c r="O128">
        <v>46345.53</v>
      </c>
      <c r="P128">
        <v>7874.6299999999901</v>
      </c>
      <c r="Q128">
        <v>0.16991131615066199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2</v>
      </c>
      <c r="Y128">
        <v>0</v>
      </c>
      <c r="Z128">
        <v>16196.7478418136</v>
      </c>
      <c r="AA128">
        <v>4161.8403265616898</v>
      </c>
      <c r="AB128">
        <v>30974.8870111953</v>
      </c>
      <c r="AC128">
        <v>7116.2392004825597</v>
      </c>
      <c r="AD128">
        <v>22549.648097366298</v>
      </c>
      <c r="AE128">
        <v>5056.1933700901</v>
      </c>
      <c r="AF128">
        <v>69721.282950375404</v>
      </c>
      <c r="AG128">
        <v>16334.2728971343</v>
      </c>
      <c r="AH128">
        <v>0</v>
      </c>
      <c r="AI128">
        <v>2</v>
      </c>
      <c r="AJ128">
        <v>0</v>
      </c>
      <c r="AK128">
        <v>2</v>
      </c>
      <c r="AL128">
        <v>17.600000000000001</v>
      </c>
      <c r="AM128">
        <v>0</v>
      </c>
      <c r="AN128" t="s">
        <v>103</v>
      </c>
      <c r="AO128" t="b">
        <v>0</v>
      </c>
      <c r="AP128" t="s">
        <v>103</v>
      </c>
      <c r="AQ128">
        <v>0</v>
      </c>
      <c r="AR128">
        <v>1</v>
      </c>
      <c r="AS128">
        <v>1.2375728488172699</v>
      </c>
      <c r="AT128">
        <v>1</v>
      </c>
      <c r="AU128">
        <v>5.8516384238401704</v>
      </c>
      <c r="AV128">
        <v>2.26647472038966</v>
      </c>
      <c r="AW128">
        <v>2.20033899324882</v>
      </c>
      <c r="AX128">
        <v>131</v>
      </c>
      <c r="AY128">
        <v>54</v>
      </c>
      <c r="AZ128">
        <v>3</v>
      </c>
      <c r="BA128">
        <v>1</v>
      </c>
      <c r="BB128">
        <v>2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3</v>
      </c>
      <c r="BJ128">
        <v>3</v>
      </c>
      <c r="BK128">
        <v>2.20033899324882</v>
      </c>
      <c r="BL128">
        <v>131</v>
      </c>
      <c r="BM128">
        <v>54</v>
      </c>
      <c r="BN128">
        <v>4.66600785304471</v>
      </c>
      <c r="BO128">
        <v>27011.674907782501</v>
      </c>
      <c r="BP128" t="s">
        <v>739</v>
      </c>
      <c r="BQ128" t="s">
        <v>891</v>
      </c>
      <c r="BR128" cm="1">
        <f t="array" ref="BR128">IF($AP128="ארצי",SUMPRODUCT(($AP$2:$AP$143="ארצי")*($BK$2:$BK$143&gt;$BK128))+1,SUMPRODUCT(($AP$2:$AP$143=$AP128)*($L$2:$L$143=$L128)*($BK$2:$BK$143&gt;$BK128))+1)</f>
        <v>38</v>
      </c>
    </row>
    <row r="129" spans="1:70" x14ac:dyDescent="0.25">
      <c r="A129">
        <v>828</v>
      </c>
      <c r="B129">
        <v>34.595313340112902</v>
      </c>
      <c r="C129">
        <v>31.6599617708309</v>
      </c>
      <c r="D129" t="s">
        <v>740</v>
      </c>
      <c r="E129" t="s">
        <v>741</v>
      </c>
      <c r="F129" t="s">
        <v>138</v>
      </c>
      <c r="G129" t="s">
        <v>139</v>
      </c>
      <c r="H129" t="s">
        <v>742</v>
      </c>
      <c r="I129" t="s">
        <v>743</v>
      </c>
      <c r="J129" t="s">
        <v>74</v>
      </c>
      <c r="K129" t="s">
        <v>275</v>
      </c>
      <c r="L129" t="s">
        <v>275</v>
      </c>
      <c r="M129" t="s">
        <v>276</v>
      </c>
      <c r="N129" t="s">
        <v>277</v>
      </c>
      <c r="O129">
        <v>1735.1315202200001</v>
      </c>
      <c r="P129">
        <v>0</v>
      </c>
      <c r="Q129">
        <v>0</v>
      </c>
      <c r="R129">
        <v>2</v>
      </c>
      <c r="S129">
        <v>0</v>
      </c>
      <c r="T129">
        <v>0</v>
      </c>
      <c r="U129">
        <v>0</v>
      </c>
      <c r="V129">
        <v>0</v>
      </c>
      <c r="W129">
        <v>2</v>
      </c>
      <c r="X129">
        <v>0</v>
      </c>
      <c r="Y129">
        <v>0</v>
      </c>
      <c r="Z129">
        <v>5368.1287723994001</v>
      </c>
      <c r="AA129">
        <v>6019.1043009628602</v>
      </c>
      <c r="AB129">
        <v>11545.368156839801</v>
      </c>
      <c r="AC129">
        <v>5088.8349778063402</v>
      </c>
      <c r="AD129">
        <v>7420.87376731533</v>
      </c>
      <c r="AE129">
        <v>2888.8833823341502</v>
      </c>
      <c r="AF129">
        <v>24334.370696554499</v>
      </c>
      <c r="AG129">
        <v>13996.822661103301</v>
      </c>
      <c r="AH129">
        <v>1</v>
      </c>
      <c r="AI129">
        <v>1</v>
      </c>
      <c r="AJ129">
        <v>1</v>
      </c>
      <c r="AK129">
        <v>2</v>
      </c>
      <c r="AL129">
        <v>19.8</v>
      </c>
      <c r="AM129">
        <v>0</v>
      </c>
      <c r="AN129" t="s">
        <v>143</v>
      </c>
      <c r="AO129" t="b">
        <v>0</v>
      </c>
      <c r="AP129" t="s">
        <v>143</v>
      </c>
      <c r="AQ129">
        <v>0</v>
      </c>
      <c r="AR129">
        <v>4</v>
      </c>
      <c r="AS129">
        <v>1.3054508056222101</v>
      </c>
      <c r="AT129">
        <v>1</v>
      </c>
      <c r="AU129">
        <v>1.6992745416456601</v>
      </c>
      <c r="AV129">
        <v>2.0382288209299801</v>
      </c>
      <c r="AW129">
        <v>2.0887562650584202</v>
      </c>
      <c r="AX129">
        <v>132</v>
      </c>
      <c r="AY129">
        <v>37</v>
      </c>
      <c r="AZ129">
        <v>4</v>
      </c>
      <c r="BA129">
        <v>0</v>
      </c>
      <c r="BB129">
        <v>0</v>
      </c>
      <c r="BC129">
        <v>4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4</v>
      </c>
      <c r="BJ129">
        <v>4</v>
      </c>
      <c r="BK129">
        <v>2.0887562650584202</v>
      </c>
      <c r="BL129">
        <v>132</v>
      </c>
      <c r="BM129">
        <v>37</v>
      </c>
      <c r="BN129">
        <v>3.23933239920816</v>
      </c>
      <c r="BO129">
        <v>22266.861089464299</v>
      </c>
      <c r="BP129" t="s">
        <v>906</v>
      </c>
      <c r="BQ129" t="s">
        <v>892</v>
      </c>
      <c r="BR129" cm="1">
        <f t="array" ref="BR129">IF($AP129="ארצי",SUMPRODUCT(($AP$2:$AP$143="ארצי")*($BK$2:$BK$143&gt;$BK129))+1,SUMPRODUCT(($AP$2:$AP$143=$AP129)*($L$2:$L$143=$L129)*($BK$2:$BK$143&gt;$BK129))+1)</f>
        <v>6</v>
      </c>
    </row>
    <row r="130" spans="1:70" x14ac:dyDescent="0.25">
      <c r="A130">
        <v>489</v>
      </c>
      <c r="B130">
        <v>34.870033484181803</v>
      </c>
      <c r="C130">
        <v>32.000821266279203</v>
      </c>
      <c r="D130" t="s">
        <v>744</v>
      </c>
      <c r="E130" t="s">
        <v>745</v>
      </c>
      <c r="F130" t="s">
        <v>70</v>
      </c>
      <c r="G130" t="s">
        <v>71</v>
      </c>
      <c r="H130" t="s">
        <v>746</v>
      </c>
      <c r="I130" t="s">
        <v>747</v>
      </c>
      <c r="J130" t="s">
        <v>74</v>
      </c>
      <c r="K130" t="s">
        <v>94</v>
      </c>
      <c r="L130" t="s">
        <v>94</v>
      </c>
      <c r="M130" t="s">
        <v>219</v>
      </c>
      <c r="N130" t="s">
        <v>133</v>
      </c>
      <c r="O130">
        <v>137307.51</v>
      </c>
      <c r="P130">
        <v>132449.01</v>
      </c>
      <c r="Q130">
        <v>0.96461591940600999</v>
      </c>
      <c r="R130">
        <v>0</v>
      </c>
      <c r="S130">
        <v>0</v>
      </c>
      <c r="T130">
        <v>0</v>
      </c>
      <c r="U130">
        <v>4</v>
      </c>
      <c r="V130">
        <v>4</v>
      </c>
      <c r="W130">
        <v>2</v>
      </c>
      <c r="X130">
        <v>0</v>
      </c>
      <c r="Y130">
        <v>4</v>
      </c>
      <c r="Z130">
        <v>11.2857548242837</v>
      </c>
      <c r="AA130">
        <v>2392.8106022444799</v>
      </c>
      <c r="AB130">
        <v>378.45716576922001</v>
      </c>
      <c r="AC130">
        <v>2736.49458290128</v>
      </c>
      <c r="AD130">
        <v>332.47659970913401</v>
      </c>
      <c r="AE130">
        <v>1575.2852012005501</v>
      </c>
      <c r="AF130">
        <v>722.21952030263799</v>
      </c>
      <c r="AG130">
        <v>6704.59038634632</v>
      </c>
      <c r="AH130">
        <v>0</v>
      </c>
      <c r="AI130">
        <v>2</v>
      </c>
      <c r="AJ130">
        <v>0</v>
      </c>
      <c r="AK130">
        <v>4</v>
      </c>
      <c r="AL130">
        <v>122.2</v>
      </c>
      <c r="AM130">
        <v>0</v>
      </c>
      <c r="AN130" t="s">
        <v>78</v>
      </c>
      <c r="AO130" t="b">
        <v>0</v>
      </c>
      <c r="AP130" t="s">
        <v>78</v>
      </c>
      <c r="AQ130">
        <v>0</v>
      </c>
      <c r="AR130">
        <v>1</v>
      </c>
      <c r="AS130">
        <v>4.4648611587247098</v>
      </c>
      <c r="AT130">
        <v>1</v>
      </c>
      <c r="AU130">
        <v>3.9740168963691902</v>
      </c>
      <c r="AV130">
        <v>1.2320612989620701</v>
      </c>
      <c r="AW130">
        <v>2.0732352648906298</v>
      </c>
      <c r="AX130">
        <v>133</v>
      </c>
      <c r="AY130">
        <v>16</v>
      </c>
      <c r="AZ130">
        <v>14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14</v>
      </c>
      <c r="BK130">
        <v>2.0732352648906298</v>
      </c>
      <c r="BL130">
        <v>133</v>
      </c>
      <c r="BM130">
        <v>16</v>
      </c>
      <c r="BN130">
        <v>5.1376942915147001</v>
      </c>
      <c r="BO130">
        <v>5508.1162131375904</v>
      </c>
      <c r="BP130" t="s">
        <v>748</v>
      </c>
      <c r="BQ130" t="s">
        <v>893</v>
      </c>
      <c r="BR130" cm="1">
        <f t="array" ref="BR130">IF($AP130="ארצי",SUMPRODUCT(($AP$2:$AP$143="ארצי")*($BK$2:$BK$143&gt;$BK130))+1,SUMPRODUCT(($AP$2:$AP$143=$AP130)*($L$2:$L$143=$L130)*($BK$2:$BK$143&gt;$BK130))+1)</f>
        <v>15</v>
      </c>
    </row>
    <row r="131" spans="1:70" x14ac:dyDescent="0.25">
      <c r="A131">
        <v>306</v>
      </c>
      <c r="B131">
        <v>34.798762618709901</v>
      </c>
      <c r="C131">
        <v>31.929062632021601</v>
      </c>
      <c r="D131" t="s">
        <v>749</v>
      </c>
      <c r="E131" t="s">
        <v>750</v>
      </c>
      <c r="F131" t="s">
        <v>538</v>
      </c>
      <c r="G131" t="s">
        <v>539</v>
      </c>
      <c r="H131" t="s">
        <v>662</v>
      </c>
      <c r="I131" t="s">
        <v>663</v>
      </c>
      <c r="J131" t="s">
        <v>74</v>
      </c>
      <c r="K131" t="s">
        <v>94</v>
      </c>
      <c r="L131" t="s">
        <v>94</v>
      </c>
      <c r="M131" t="s">
        <v>219</v>
      </c>
      <c r="N131" t="s">
        <v>133</v>
      </c>
      <c r="O131">
        <v>25452.21</v>
      </c>
      <c r="P131">
        <v>5304.53999999999</v>
      </c>
      <c r="Q131">
        <v>0.20841176463654801</v>
      </c>
      <c r="R131">
        <v>2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4</v>
      </c>
      <c r="Y131">
        <v>0</v>
      </c>
      <c r="Z131">
        <v>9280.6528897616899</v>
      </c>
      <c r="AA131">
        <v>2368.1104183319899</v>
      </c>
      <c r="AB131">
        <v>14334.106960545299</v>
      </c>
      <c r="AC131">
        <v>6609.0604077792004</v>
      </c>
      <c r="AD131">
        <v>8787.2118028328096</v>
      </c>
      <c r="AE131">
        <v>4962.93963386011</v>
      </c>
      <c r="AF131">
        <v>32401.971653139801</v>
      </c>
      <c r="AG131">
        <v>13940.1104599713</v>
      </c>
      <c r="AH131">
        <v>0</v>
      </c>
      <c r="AI131">
        <v>2</v>
      </c>
      <c r="AJ131">
        <v>0</v>
      </c>
      <c r="AK131">
        <v>2</v>
      </c>
      <c r="AL131">
        <v>35.200000000000003</v>
      </c>
      <c r="AM131">
        <v>0</v>
      </c>
      <c r="AN131" t="s">
        <v>103</v>
      </c>
      <c r="AO131" t="b">
        <v>0</v>
      </c>
      <c r="AP131" t="s">
        <v>103</v>
      </c>
      <c r="AQ131">
        <v>0</v>
      </c>
      <c r="AR131">
        <v>1</v>
      </c>
      <c r="AS131">
        <v>1.7805965032567701</v>
      </c>
      <c r="AT131">
        <v>1</v>
      </c>
      <c r="AU131">
        <v>4.5303684986519999</v>
      </c>
      <c r="AV131">
        <v>1.8152953392885101</v>
      </c>
      <c r="AW131">
        <v>2.0224256720509399</v>
      </c>
      <c r="AX131">
        <v>134</v>
      </c>
      <c r="AY131">
        <v>55</v>
      </c>
      <c r="AZ131">
        <v>6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6</v>
      </c>
      <c r="BG131">
        <v>0</v>
      </c>
      <c r="BH131">
        <v>0</v>
      </c>
      <c r="BI131">
        <v>6</v>
      </c>
      <c r="BJ131">
        <v>6</v>
      </c>
      <c r="BK131">
        <v>2.0224256720509399</v>
      </c>
      <c r="BL131">
        <v>134</v>
      </c>
      <c r="BM131">
        <v>55</v>
      </c>
      <c r="BN131">
        <v>4.4057254978372002</v>
      </c>
      <c r="BO131">
        <v>17632.482698604999</v>
      </c>
      <c r="BP131" t="s">
        <v>751</v>
      </c>
      <c r="BQ131" t="s">
        <v>883</v>
      </c>
      <c r="BR131" cm="1">
        <f t="array" ref="BR131">IF($AP131="ארצי",SUMPRODUCT(($AP$2:$AP$143="ארצי")*($BK$2:$BK$143&gt;$BK131))+1,SUMPRODUCT(($AP$2:$AP$143=$AP131)*($L$2:$L$143=$L131)*($BK$2:$BK$143&gt;$BK131))+1)</f>
        <v>39</v>
      </c>
    </row>
    <row r="132" spans="1:70" x14ac:dyDescent="0.25">
      <c r="A132">
        <v>128</v>
      </c>
      <c r="B132">
        <v>34.936130608888597</v>
      </c>
      <c r="C132">
        <v>32.177078177803303</v>
      </c>
      <c r="D132" t="s">
        <v>752</v>
      </c>
      <c r="E132" t="s">
        <v>753</v>
      </c>
      <c r="F132" t="s">
        <v>538</v>
      </c>
      <c r="G132" t="s">
        <v>539</v>
      </c>
      <c r="H132" t="s">
        <v>754</v>
      </c>
      <c r="I132" t="s">
        <v>755</v>
      </c>
      <c r="J132" t="s">
        <v>74</v>
      </c>
      <c r="K132" t="s">
        <v>94</v>
      </c>
      <c r="L132" t="s">
        <v>94</v>
      </c>
      <c r="M132" t="s">
        <v>219</v>
      </c>
      <c r="N132" t="s">
        <v>133</v>
      </c>
      <c r="O132">
        <v>19223.73</v>
      </c>
      <c r="P132">
        <v>12575.39</v>
      </c>
      <c r="Q132">
        <v>0.65415972862706595</v>
      </c>
      <c r="R132">
        <v>2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4</v>
      </c>
      <c r="Y132">
        <v>0</v>
      </c>
      <c r="Z132">
        <v>5430.7994608054496</v>
      </c>
      <c r="AA132">
        <v>7288.3569420132499</v>
      </c>
      <c r="AB132">
        <v>9910.5310007753706</v>
      </c>
      <c r="AC132">
        <v>9286.5840276758208</v>
      </c>
      <c r="AD132">
        <v>7699.2146080021103</v>
      </c>
      <c r="AE132">
        <v>4399.0948918282202</v>
      </c>
      <c r="AF132">
        <v>23040.545069582899</v>
      </c>
      <c r="AG132">
        <v>20974.035861517299</v>
      </c>
      <c r="AH132">
        <v>0</v>
      </c>
      <c r="AI132">
        <v>2</v>
      </c>
      <c r="AJ132">
        <v>0</v>
      </c>
      <c r="AK132">
        <v>2</v>
      </c>
      <c r="AL132">
        <v>35.200000000000003</v>
      </c>
      <c r="AM132">
        <v>0</v>
      </c>
      <c r="AN132" t="s">
        <v>103</v>
      </c>
      <c r="AO132" t="b">
        <v>0</v>
      </c>
      <c r="AP132" t="s">
        <v>103</v>
      </c>
      <c r="AQ132">
        <v>0</v>
      </c>
      <c r="AR132">
        <v>1</v>
      </c>
      <c r="AS132">
        <v>1.7805965032567701</v>
      </c>
      <c r="AT132">
        <v>1</v>
      </c>
      <c r="AU132">
        <v>3.9116299109076902</v>
      </c>
      <c r="AV132">
        <v>1.9959199729759001</v>
      </c>
      <c r="AW132">
        <v>1.9806913256766301</v>
      </c>
      <c r="AX132">
        <v>135</v>
      </c>
      <c r="AY132">
        <v>56</v>
      </c>
      <c r="AZ132">
        <v>6</v>
      </c>
      <c r="BA132">
        <v>2</v>
      </c>
      <c r="BB132">
        <v>0</v>
      </c>
      <c r="BC132">
        <v>0</v>
      </c>
      <c r="BD132">
        <v>0</v>
      </c>
      <c r="BE132">
        <v>0</v>
      </c>
      <c r="BF132">
        <v>4</v>
      </c>
      <c r="BG132">
        <v>0</v>
      </c>
      <c r="BH132">
        <v>0</v>
      </c>
      <c r="BI132">
        <v>6</v>
      </c>
      <c r="BJ132">
        <v>6</v>
      </c>
      <c r="BK132">
        <v>1.9806913256766301</v>
      </c>
      <c r="BL132">
        <v>135</v>
      </c>
      <c r="BM132">
        <v>56</v>
      </c>
      <c r="BN132">
        <v>4.2838376581114002</v>
      </c>
      <c r="BO132">
        <v>21387.337703130401</v>
      </c>
      <c r="BP132" t="s">
        <v>756</v>
      </c>
      <c r="BQ132" t="s">
        <v>894</v>
      </c>
      <c r="BR132" cm="1">
        <f t="array" ref="BR132">IF($AP132="ארצי",SUMPRODUCT(($AP$2:$AP$143="ארצי")*($BK$2:$BK$143&gt;$BK132))+1,SUMPRODUCT(($AP$2:$AP$143=$AP132)*($L$2:$L$143=$L132)*($BK$2:$BK$143&gt;$BK132))+1)</f>
        <v>40</v>
      </c>
    </row>
    <row r="133" spans="1:70" x14ac:dyDescent="0.25">
      <c r="A133">
        <v>113</v>
      </c>
      <c r="B133">
        <v>34.9366105909601</v>
      </c>
      <c r="C133">
        <v>32.220849752516102</v>
      </c>
      <c r="D133" t="s">
        <v>757</v>
      </c>
      <c r="E133" t="s">
        <v>758</v>
      </c>
      <c r="F133" t="s">
        <v>128</v>
      </c>
      <c r="G133" t="s">
        <v>129</v>
      </c>
      <c r="H133" t="s">
        <v>154</v>
      </c>
      <c r="I133" t="s">
        <v>155</v>
      </c>
      <c r="J133" t="s">
        <v>74</v>
      </c>
      <c r="K133" t="s">
        <v>94</v>
      </c>
      <c r="L133" t="s">
        <v>94</v>
      </c>
      <c r="M133" t="s">
        <v>132</v>
      </c>
      <c r="N133" t="s">
        <v>133</v>
      </c>
      <c r="O133">
        <v>1253.05</v>
      </c>
      <c r="P133" s="1">
        <v>3.1220000000000003E-5</v>
      </c>
      <c r="Q133" s="1">
        <v>2.4915206895175701E-8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1</v>
      </c>
      <c r="X133">
        <v>0</v>
      </c>
      <c r="Y133">
        <v>0</v>
      </c>
      <c r="Z133">
        <v>775.15219841525095</v>
      </c>
      <c r="AA133">
        <v>258.734639711554</v>
      </c>
      <c r="AB133">
        <v>2133.1412960154998</v>
      </c>
      <c r="AC133">
        <v>554.38193716638602</v>
      </c>
      <c r="AD133">
        <v>2594.5530829170698</v>
      </c>
      <c r="AE133">
        <v>537.12634190252595</v>
      </c>
      <c r="AF133">
        <v>5502.8465773478301</v>
      </c>
      <c r="AG133">
        <v>1350.2429187804601</v>
      </c>
      <c r="AH133">
        <v>0</v>
      </c>
      <c r="AI133">
        <v>2</v>
      </c>
      <c r="AJ133">
        <v>0</v>
      </c>
      <c r="AK133">
        <v>2</v>
      </c>
      <c r="AL133">
        <v>9.9</v>
      </c>
      <c r="AM133">
        <v>0</v>
      </c>
      <c r="AN133" t="s">
        <v>134</v>
      </c>
      <c r="AO133" t="b">
        <v>0</v>
      </c>
      <c r="AP133" t="s">
        <v>134</v>
      </c>
      <c r="AQ133">
        <v>0</v>
      </c>
      <c r="AR133">
        <v>1</v>
      </c>
      <c r="AS133">
        <v>1</v>
      </c>
      <c r="AT133">
        <v>1</v>
      </c>
      <c r="AU133">
        <v>1</v>
      </c>
      <c r="AV133">
        <v>1.0720013666738799</v>
      </c>
      <c r="AW133">
        <v>1.9718238286086001</v>
      </c>
      <c r="AX133">
        <v>136</v>
      </c>
      <c r="AY133">
        <v>27</v>
      </c>
      <c r="AZ133">
        <v>2</v>
      </c>
      <c r="BA133">
        <v>0</v>
      </c>
      <c r="BB133">
        <v>0</v>
      </c>
      <c r="BC133">
        <v>2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2</v>
      </c>
      <c r="BJ133">
        <v>2</v>
      </c>
      <c r="BK133">
        <v>1.9718238286086001</v>
      </c>
      <c r="BL133">
        <v>136</v>
      </c>
      <c r="BM133">
        <v>27</v>
      </c>
      <c r="BN133">
        <v>3.0979684008352102</v>
      </c>
      <c r="BO133">
        <v>2180.7636504939301</v>
      </c>
      <c r="BP133" t="s">
        <v>759</v>
      </c>
      <c r="BQ133" t="s">
        <v>809</v>
      </c>
      <c r="BR133" cm="1">
        <f t="array" ref="BR133">IF($AP133="ארצי",SUMPRODUCT(($AP$2:$AP$143="ארצי")*($BK$2:$BK$143&gt;$BK133))+1,SUMPRODUCT(($AP$2:$AP$143=$AP133)*($L$2:$L$143=$L133)*($BK$2:$BK$143&gt;$BK133))+1)</f>
        <v>27</v>
      </c>
    </row>
    <row r="134" spans="1:70" x14ac:dyDescent="0.25">
      <c r="A134">
        <v>116</v>
      </c>
      <c r="B134">
        <v>34.878285434310499</v>
      </c>
      <c r="C134">
        <v>32.145233387543698</v>
      </c>
      <c r="D134" t="s">
        <v>760</v>
      </c>
      <c r="E134" t="s">
        <v>761</v>
      </c>
      <c r="F134" t="s">
        <v>348</v>
      </c>
      <c r="G134" t="s">
        <v>349</v>
      </c>
      <c r="H134" t="s">
        <v>497</v>
      </c>
      <c r="I134" t="s">
        <v>498</v>
      </c>
      <c r="J134" t="s">
        <v>74</v>
      </c>
      <c r="K134" t="s">
        <v>94</v>
      </c>
      <c r="L134" t="s">
        <v>94</v>
      </c>
      <c r="M134" t="s">
        <v>219</v>
      </c>
      <c r="N134" t="s">
        <v>133</v>
      </c>
      <c r="O134">
        <v>26910.39</v>
      </c>
      <c r="P134">
        <v>1988.76</v>
      </c>
      <c r="Q134">
        <v>7.3903053801895796E-2</v>
      </c>
      <c r="R134">
        <v>2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2</v>
      </c>
      <c r="Y134">
        <v>0</v>
      </c>
      <c r="Z134">
        <v>12081.3562451362</v>
      </c>
      <c r="AA134">
        <v>4201.3314678315</v>
      </c>
      <c r="AB134">
        <v>16692.0821769986</v>
      </c>
      <c r="AC134">
        <v>6868.12528270844</v>
      </c>
      <c r="AD134">
        <v>10914.397158928899</v>
      </c>
      <c r="AE134">
        <v>4683.5148891294602</v>
      </c>
      <c r="AF134">
        <v>39687.835581063802</v>
      </c>
      <c r="AG134">
        <v>15752.9716396694</v>
      </c>
      <c r="AH134">
        <v>0</v>
      </c>
      <c r="AI134">
        <v>2</v>
      </c>
      <c r="AJ134">
        <v>0</v>
      </c>
      <c r="AK134">
        <v>2</v>
      </c>
      <c r="AL134">
        <v>22</v>
      </c>
      <c r="AM134">
        <v>0</v>
      </c>
      <c r="AN134" t="s">
        <v>103</v>
      </c>
      <c r="AO134" t="b">
        <v>0</v>
      </c>
      <c r="AP134" t="s">
        <v>103</v>
      </c>
      <c r="AQ134">
        <v>0</v>
      </c>
      <c r="AR134">
        <v>1</v>
      </c>
      <c r="AS134">
        <v>1.37332876242715</v>
      </c>
      <c r="AT134">
        <v>1</v>
      </c>
      <c r="AU134">
        <v>4.65318687893354</v>
      </c>
      <c r="AV134">
        <v>1.9551567212033401</v>
      </c>
      <c r="AW134">
        <v>1.9658380453055</v>
      </c>
      <c r="AX134">
        <v>137</v>
      </c>
      <c r="AY134">
        <v>57</v>
      </c>
      <c r="AZ134">
        <v>4</v>
      </c>
      <c r="BA134">
        <v>0</v>
      </c>
      <c r="BB134">
        <v>0</v>
      </c>
      <c r="BC134">
        <v>2</v>
      </c>
      <c r="BD134">
        <v>0</v>
      </c>
      <c r="BE134">
        <v>0</v>
      </c>
      <c r="BF134">
        <v>2</v>
      </c>
      <c r="BG134">
        <v>0</v>
      </c>
      <c r="BH134">
        <v>0</v>
      </c>
      <c r="BI134">
        <v>4</v>
      </c>
      <c r="BJ134">
        <v>4</v>
      </c>
      <c r="BK134">
        <v>1.9658380453055</v>
      </c>
      <c r="BL134">
        <v>137</v>
      </c>
      <c r="BM134">
        <v>57</v>
      </c>
      <c r="BN134">
        <v>4.4299199918410697</v>
      </c>
      <c r="BO134">
        <v>20539.9444279483</v>
      </c>
      <c r="BP134" t="s">
        <v>762</v>
      </c>
      <c r="BQ134" t="s">
        <v>857</v>
      </c>
      <c r="BR134" cm="1">
        <f t="array" ref="BR134">IF($AP134="ארצי",SUMPRODUCT(($AP$2:$AP$143="ארצי")*($BK$2:$BK$143&gt;$BK134))+1,SUMPRODUCT(($AP$2:$AP$143=$AP134)*($L$2:$L$143=$L134)*($BK$2:$BK$143&gt;$BK134))+1)</f>
        <v>41</v>
      </c>
    </row>
    <row r="135" spans="1:70" x14ac:dyDescent="0.25">
      <c r="A135">
        <v>370</v>
      </c>
      <c r="B135">
        <v>34.826919383537003</v>
      </c>
      <c r="C135">
        <v>31.9611504966376</v>
      </c>
      <c r="D135" t="s">
        <v>763</v>
      </c>
      <c r="E135" t="s">
        <v>764</v>
      </c>
      <c r="F135" t="s">
        <v>128</v>
      </c>
      <c r="G135" t="s">
        <v>129</v>
      </c>
      <c r="H135" t="s">
        <v>601</v>
      </c>
      <c r="I135" t="s">
        <v>420</v>
      </c>
      <c r="J135" t="s">
        <v>74</v>
      </c>
      <c r="K135" t="s">
        <v>94</v>
      </c>
      <c r="L135" t="s">
        <v>94</v>
      </c>
      <c r="M135" t="s">
        <v>219</v>
      </c>
      <c r="N135" t="s">
        <v>133</v>
      </c>
      <c r="O135">
        <v>2809.22</v>
      </c>
      <c r="P135">
        <v>11.247070000000001</v>
      </c>
      <c r="Q135">
        <v>4.0036273413972499E-3</v>
      </c>
      <c r="R135">
        <v>3</v>
      </c>
      <c r="S135">
        <v>0</v>
      </c>
      <c r="T135">
        <v>0</v>
      </c>
      <c r="U135">
        <v>0</v>
      </c>
      <c r="V135">
        <v>0</v>
      </c>
      <c r="W135">
        <v>3</v>
      </c>
      <c r="X135">
        <v>0</v>
      </c>
      <c r="Y135">
        <v>0</v>
      </c>
      <c r="Z135">
        <v>9168.8082982379092</v>
      </c>
      <c r="AA135">
        <v>1819.43063976853</v>
      </c>
      <c r="AB135">
        <v>19981.665285687799</v>
      </c>
      <c r="AC135">
        <v>5381.8316609516596</v>
      </c>
      <c r="AD135">
        <v>15234.933327883</v>
      </c>
      <c r="AE135">
        <v>6970.4376410230198</v>
      </c>
      <c r="AF135">
        <v>44385.406911808801</v>
      </c>
      <c r="AG135">
        <v>14171.6999417432</v>
      </c>
      <c r="AH135">
        <v>0</v>
      </c>
      <c r="AI135">
        <v>2</v>
      </c>
      <c r="AJ135">
        <v>0</v>
      </c>
      <c r="AK135">
        <v>2</v>
      </c>
      <c r="AL135">
        <v>29.7</v>
      </c>
      <c r="AM135">
        <v>0</v>
      </c>
      <c r="AN135" t="s">
        <v>143</v>
      </c>
      <c r="AO135" t="b">
        <v>0</v>
      </c>
      <c r="AP135" t="s">
        <v>143</v>
      </c>
      <c r="AQ135">
        <v>0</v>
      </c>
      <c r="AR135">
        <v>1</v>
      </c>
      <c r="AS135">
        <v>1.6109016112444201</v>
      </c>
      <c r="AT135">
        <v>1</v>
      </c>
      <c r="AU135">
        <v>2.7250470558610602</v>
      </c>
      <c r="AV135">
        <v>2.81154397759994</v>
      </c>
      <c r="AW135">
        <v>1.96425043498236</v>
      </c>
      <c r="AX135">
        <v>138</v>
      </c>
      <c r="AY135">
        <v>38</v>
      </c>
      <c r="AZ135">
        <v>6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6</v>
      </c>
      <c r="BG135">
        <v>0</v>
      </c>
      <c r="BH135">
        <v>0</v>
      </c>
      <c r="BI135">
        <v>6</v>
      </c>
      <c r="BJ135">
        <v>6</v>
      </c>
      <c r="BK135">
        <v>1.96425043498236</v>
      </c>
      <c r="BL135">
        <v>138</v>
      </c>
      <c r="BM135">
        <v>38</v>
      </c>
      <c r="BN135">
        <v>3.4485857516774399</v>
      </c>
      <c r="BO135">
        <v>38342.6655177957</v>
      </c>
      <c r="BP135" t="s">
        <v>765</v>
      </c>
      <c r="BQ135" t="s">
        <v>846</v>
      </c>
      <c r="BR135" cm="1">
        <f t="array" ref="BR135">IF($AP135="ארצי",SUMPRODUCT(($AP$2:$AP$143="ארצי")*($BK$2:$BK$143&gt;$BK135))+1,SUMPRODUCT(($AP$2:$AP$143=$AP135)*($L$2:$L$143=$L135)*($BK$2:$BK$143&gt;$BK135))+1)</f>
        <v>22</v>
      </c>
    </row>
    <row r="136" spans="1:70" x14ac:dyDescent="0.25">
      <c r="A136">
        <v>340</v>
      </c>
      <c r="B136">
        <v>34.817062196081999</v>
      </c>
      <c r="C136">
        <v>31.8837323957374</v>
      </c>
      <c r="D136" t="s">
        <v>766</v>
      </c>
      <c r="E136" t="s">
        <v>767</v>
      </c>
      <c r="F136" t="s">
        <v>538</v>
      </c>
      <c r="G136" t="s">
        <v>539</v>
      </c>
      <c r="H136" t="s">
        <v>662</v>
      </c>
      <c r="I136" t="s">
        <v>663</v>
      </c>
      <c r="J136" t="s">
        <v>74</v>
      </c>
      <c r="K136" t="s">
        <v>94</v>
      </c>
      <c r="L136" t="s">
        <v>94</v>
      </c>
      <c r="M136" t="s">
        <v>219</v>
      </c>
      <c r="N136" t="s">
        <v>133</v>
      </c>
      <c r="O136">
        <v>19054.240000000002</v>
      </c>
      <c r="P136">
        <v>1458.6700668999899</v>
      </c>
      <c r="Q136">
        <v>7.6553568491842194E-2</v>
      </c>
      <c r="R136">
        <v>2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4</v>
      </c>
      <c r="Y136">
        <v>0</v>
      </c>
      <c r="Z136">
        <v>15408.1628367055</v>
      </c>
      <c r="AA136">
        <v>1833.6879758799</v>
      </c>
      <c r="AB136">
        <v>23358.898375288602</v>
      </c>
      <c r="AC136">
        <v>3477.0141165816799</v>
      </c>
      <c r="AD136">
        <v>15007.136230010499</v>
      </c>
      <c r="AE136">
        <v>4804.0785350550004</v>
      </c>
      <c r="AF136">
        <v>53774.197442004697</v>
      </c>
      <c r="AG136">
        <v>10114.7806275165</v>
      </c>
      <c r="AH136">
        <v>0</v>
      </c>
      <c r="AI136">
        <v>2</v>
      </c>
      <c r="AJ136">
        <v>0</v>
      </c>
      <c r="AK136">
        <v>2</v>
      </c>
      <c r="AL136">
        <v>35.200000000000003</v>
      </c>
      <c r="AM136">
        <v>0</v>
      </c>
      <c r="AN136" t="s">
        <v>103</v>
      </c>
      <c r="AO136" t="b">
        <v>0</v>
      </c>
      <c r="AP136" t="s">
        <v>103</v>
      </c>
      <c r="AQ136">
        <v>0</v>
      </c>
      <c r="AR136">
        <v>1</v>
      </c>
      <c r="AS136">
        <v>1.7805965032567701</v>
      </c>
      <c r="AT136">
        <v>1</v>
      </c>
      <c r="AU136">
        <v>3.8921063447232398</v>
      </c>
      <c r="AV136">
        <v>1.8737026681464299</v>
      </c>
      <c r="AW136">
        <v>1.9134304657968899</v>
      </c>
      <c r="AX136">
        <v>139</v>
      </c>
      <c r="AY136">
        <v>58</v>
      </c>
      <c r="AZ136">
        <v>6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6</v>
      </c>
      <c r="BG136">
        <v>0</v>
      </c>
      <c r="BH136">
        <v>0</v>
      </c>
      <c r="BI136">
        <v>6</v>
      </c>
      <c r="BJ136">
        <v>6</v>
      </c>
      <c r="BK136">
        <v>1.9134304657968899</v>
      </c>
      <c r="BL136">
        <v>139</v>
      </c>
      <c r="BM136">
        <v>58</v>
      </c>
      <c r="BN136">
        <v>4.2799916311250499</v>
      </c>
      <c r="BO136">
        <v>18846.663990414199</v>
      </c>
      <c r="BP136" t="s">
        <v>768</v>
      </c>
      <c r="BQ136" t="s">
        <v>883</v>
      </c>
      <c r="BR136" cm="1">
        <f t="array" ref="BR136">IF($AP136="ארצי",SUMPRODUCT(($AP$2:$AP$143="ארצי")*($BK$2:$BK$143&gt;$BK136))+1,SUMPRODUCT(($AP$2:$AP$143=$AP136)*($L$2:$L$143=$L136)*($BK$2:$BK$143&gt;$BK136))+1)</f>
        <v>42</v>
      </c>
    </row>
    <row r="137" spans="1:70" x14ac:dyDescent="0.25">
      <c r="A137">
        <v>357</v>
      </c>
      <c r="B137">
        <v>34.8001771902671</v>
      </c>
      <c r="C137">
        <v>31.9371091900782</v>
      </c>
      <c r="D137" t="s">
        <v>769</v>
      </c>
      <c r="E137" t="s">
        <v>770</v>
      </c>
      <c r="F137" t="s">
        <v>538</v>
      </c>
      <c r="G137" t="s">
        <v>539</v>
      </c>
      <c r="H137" t="s">
        <v>771</v>
      </c>
      <c r="I137" t="s">
        <v>772</v>
      </c>
      <c r="J137" t="s">
        <v>74</v>
      </c>
      <c r="K137" t="s">
        <v>94</v>
      </c>
      <c r="L137" t="s">
        <v>94</v>
      </c>
      <c r="M137" t="s">
        <v>219</v>
      </c>
      <c r="N137" t="s">
        <v>133</v>
      </c>
      <c r="O137">
        <v>21509.88</v>
      </c>
      <c r="P137">
        <v>1851.89</v>
      </c>
      <c r="Q137">
        <v>8.6094855015462601E-2</v>
      </c>
      <c r="R137">
        <v>3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3</v>
      </c>
      <c r="Y137">
        <v>0</v>
      </c>
      <c r="Z137">
        <v>8393.8496416463804</v>
      </c>
      <c r="AA137">
        <v>1861.8226361278601</v>
      </c>
      <c r="AB137">
        <v>13889.738676299799</v>
      </c>
      <c r="AC137">
        <v>2984.0252247286899</v>
      </c>
      <c r="AD137">
        <v>9423.3644956891003</v>
      </c>
      <c r="AE137">
        <v>2011.76284037542</v>
      </c>
      <c r="AF137">
        <v>31706.9528136353</v>
      </c>
      <c r="AG137">
        <v>6857.6107012319799</v>
      </c>
      <c r="AH137">
        <v>0</v>
      </c>
      <c r="AI137">
        <v>2</v>
      </c>
      <c r="AJ137">
        <v>0</v>
      </c>
      <c r="AK137">
        <v>2</v>
      </c>
      <c r="AL137">
        <v>33</v>
      </c>
      <c r="AM137">
        <v>0</v>
      </c>
      <c r="AN137" t="s">
        <v>103</v>
      </c>
      <c r="AO137" t="b">
        <v>0</v>
      </c>
      <c r="AP137" t="s">
        <v>103</v>
      </c>
      <c r="AQ137">
        <v>0</v>
      </c>
      <c r="AR137">
        <v>1</v>
      </c>
      <c r="AS137">
        <v>1.71271854645183</v>
      </c>
      <c r="AT137">
        <v>1</v>
      </c>
      <c r="AU137">
        <v>4.1593547617135096</v>
      </c>
      <c r="AV137">
        <v>1.5360497644247</v>
      </c>
      <c r="AW137">
        <v>1.89252479181924</v>
      </c>
      <c r="AX137">
        <v>140</v>
      </c>
      <c r="AY137">
        <v>59</v>
      </c>
      <c r="AZ137">
        <v>6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6</v>
      </c>
      <c r="BG137">
        <v>0</v>
      </c>
      <c r="BH137">
        <v>0</v>
      </c>
      <c r="BI137">
        <v>6</v>
      </c>
      <c r="BJ137">
        <v>6</v>
      </c>
      <c r="BK137">
        <v>1.89252479181924</v>
      </c>
      <c r="BL137">
        <v>140</v>
      </c>
      <c r="BM137">
        <v>59</v>
      </c>
      <c r="BN137">
        <v>4.3326379875383996</v>
      </c>
      <c r="BO137">
        <v>11827.479123712599</v>
      </c>
      <c r="BP137" t="s">
        <v>773</v>
      </c>
      <c r="BQ137" t="s">
        <v>895</v>
      </c>
      <c r="BR137" cm="1">
        <f t="array" ref="BR137">IF($AP137="ארצי",SUMPRODUCT(($AP$2:$AP$143="ארצי")*($BK$2:$BK$143&gt;$BK137))+1,SUMPRODUCT(($AP$2:$AP$143=$AP137)*($L$2:$L$143=$L137)*($BK$2:$BK$143&gt;$BK137))+1)</f>
        <v>43</v>
      </c>
    </row>
    <row r="138" spans="1:70" x14ac:dyDescent="0.25">
      <c r="A138">
        <v>123</v>
      </c>
      <c r="B138">
        <v>34.853605147549203</v>
      </c>
      <c r="C138">
        <v>32.148784794427399</v>
      </c>
      <c r="D138" t="s">
        <v>774</v>
      </c>
      <c r="E138" t="s">
        <v>775</v>
      </c>
      <c r="F138" t="s">
        <v>348</v>
      </c>
      <c r="G138" t="s">
        <v>349</v>
      </c>
      <c r="H138" t="s">
        <v>497</v>
      </c>
      <c r="I138" t="s">
        <v>498</v>
      </c>
      <c r="J138" t="s">
        <v>74</v>
      </c>
      <c r="K138" t="s">
        <v>94</v>
      </c>
      <c r="L138" t="s">
        <v>94</v>
      </c>
      <c r="M138" t="s">
        <v>142</v>
      </c>
      <c r="N138" t="s">
        <v>133</v>
      </c>
      <c r="O138">
        <v>13736.7</v>
      </c>
      <c r="P138">
        <v>3386.61</v>
      </c>
      <c r="Q138">
        <v>0.246537377972875</v>
      </c>
      <c r="R138">
        <v>2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2</v>
      </c>
      <c r="Y138">
        <v>0</v>
      </c>
      <c r="Z138">
        <v>17275.340508188201</v>
      </c>
      <c r="AA138">
        <v>7285.8085591991103</v>
      </c>
      <c r="AB138">
        <v>23854.639170484199</v>
      </c>
      <c r="AC138">
        <v>10739.7277321859</v>
      </c>
      <c r="AD138">
        <v>16006.5797817154</v>
      </c>
      <c r="AE138">
        <v>7202.9926438918201</v>
      </c>
      <c r="AF138">
        <v>57136.5594603879</v>
      </c>
      <c r="AG138">
        <v>25228.528935276801</v>
      </c>
      <c r="AH138">
        <v>0</v>
      </c>
      <c r="AI138">
        <v>2</v>
      </c>
      <c r="AJ138">
        <v>0</v>
      </c>
      <c r="AK138">
        <v>2</v>
      </c>
      <c r="AL138">
        <v>22</v>
      </c>
      <c r="AM138">
        <v>0</v>
      </c>
      <c r="AN138" t="s">
        <v>103</v>
      </c>
      <c r="AO138" t="b">
        <v>0</v>
      </c>
      <c r="AP138" t="s">
        <v>103</v>
      </c>
      <c r="AQ138">
        <v>0</v>
      </c>
      <c r="AR138">
        <v>1</v>
      </c>
      <c r="AS138">
        <v>1.37332876242715</v>
      </c>
      <c r="AT138">
        <v>1</v>
      </c>
      <c r="AU138">
        <v>3.1707180855075401</v>
      </c>
      <c r="AV138">
        <v>2.48768037971894</v>
      </c>
      <c r="AW138">
        <v>1.78318689174745</v>
      </c>
      <c r="AX138">
        <v>142</v>
      </c>
      <c r="AY138">
        <v>61</v>
      </c>
      <c r="AZ138">
        <v>4</v>
      </c>
      <c r="BA138">
        <v>0</v>
      </c>
      <c r="BB138">
        <v>0</v>
      </c>
      <c r="BC138">
        <v>2</v>
      </c>
      <c r="BD138">
        <v>0</v>
      </c>
      <c r="BE138">
        <v>0</v>
      </c>
      <c r="BF138">
        <v>2</v>
      </c>
      <c r="BG138">
        <v>0</v>
      </c>
      <c r="BH138">
        <v>0</v>
      </c>
      <c r="BI138">
        <v>4</v>
      </c>
      <c r="BJ138">
        <v>4</v>
      </c>
      <c r="BK138">
        <v>1.78318689174745</v>
      </c>
      <c r="BL138">
        <v>142</v>
      </c>
      <c r="BM138">
        <v>61</v>
      </c>
      <c r="BN138">
        <v>4.1378824136606696</v>
      </c>
      <c r="BO138">
        <v>31610.135040298999</v>
      </c>
      <c r="BP138" t="s">
        <v>776</v>
      </c>
      <c r="BQ138" t="s">
        <v>857</v>
      </c>
      <c r="BR138" cm="1">
        <f t="array" ref="BR138">IF($AP138="ארצי",SUMPRODUCT(($AP$2:$AP$143="ארצי")*($BK$2:$BK$143&gt;$BK138))+1,SUMPRODUCT(($AP$2:$AP$143=$AP138)*($L$2:$L$143=$L138)*($BK$2:$BK$143&gt;$BK138))+1)</f>
        <v>44</v>
      </c>
    </row>
    <row r="139" spans="1:70" x14ac:dyDescent="0.25">
      <c r="A139">
        <v>460</v>
      </c>
      <c r="B139">
        <v>34.855768122042001</v>
      </c>
      <c r="C139">
        <v>32.053649423888601</v>
      </c>
      <c r="D139" t="s">
        <v>777</v>
      </c>
      <c r="E139" t="s">
        <v>778</v>
      </c>
      <c r="F139" t="s">
        <v>205</v>
      </c>
      <c r="G139" t="s">
        <v>206</v>
      </c>
      <c r="H139" t="s">
        <v>605</v>
      </c>
      <c r="I139" t="s">
        <v>606</v>
      </c>
      <c r="J139" t="s">
        <v>74</v>
      </c>
      <c r="K139" t="s">
        <v>94</v>
      </c>
      <c r="L139" t="s">
        <v>94</v>
      </c>
      <c r="M139" t="s">
        <v>142</v>
      </c>
      <c r="N139" t="s">
        <v>133</v>
      </c>
      <c r="O139">
        <v>11866.07</v>
      </c>
      <c r="P139">
        <v>4142.6899999999996</v>
      </c>
      <c r="Q139">
        <v>0.34912064398743597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2</v>
      </c>
      <c r="X139">
        <v>2</v>
      </c>
      <c r="Y139">
        <v>0</v>
      </c>
      <c r="Z139">
        <v>13530.3667869615</v>
      </c>
      <c r="AA139">
        <v>5996.6473368646502</v>
      </c>
      <c r="AB139">
        <v>25237.7847376264</v>
      </c>
      <c r="AC139">
        <v>13069.5899030705</v>
      </c>
      <c r="AD139">
        <v>16343.262570407</v>
      </c>
      <c r="AE139">
        <v>8319.7422503718499</v>
      </c>
      <c r="AF139">
        <v>55111.414094995002</v>
      </c>
      <c r="AG139">
        <v>27385.979490307102</v>
      </c>
      <c r="AH139">
        <v>0</v>
      </c>
      <c r="AI139">
        <v>2</v>
      </c>
      <c r="AJ139">
        <v>0</v>
      </c>
      <c r="AK139">
        <v>2</v>
      </c>
      <c r="AL139">
        <v>24.2</v>
      </c>
      <c r="AM139">
        <v>0</v>
      </c>
      <c r="AN139" t="s">
        <v>103</v>
      </c>
      <c r="AO139" t="b">
        <v>0</v>
      </c>
      <c r="AP139" t="s">
        <v>103</v>
      </c>
      <c r="AQ139">
        <v>0</v>
      </c>
      <c r="AR139">
        <v>1</v>
      </c>
      <c r="AS139">
        <v>1.4412067192320801</v>
      </c>
      <c r="AT139">
        <v>1</v>
      </c>
      <c r="AU139">
        <v>2.8479900765326001</v>
      </c>
      <c r="AV139">
        <v>2.55122284533098</v>
      </c>
      <c r="AW139">
        <v>1.7096054704594099</v>
      </c>
      <c r="AX139">
        <v>143</v>
      </c>
      <c r="AY139">
        <v>62</v>
      </c>
      <c r="AZ139">
        <v>4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2</v>
      </c>
      <c r="BG139">
        <v>0</v>
      </c>
      <c r="BH139">
        <v>0</v>
      </c>
      <c r="BI139">
        <v>2</v>
      </c>
      <c r="BJ139">
        <v>4</v>
      </c>
      <c r="BK139">
        <v>1.7096054704594099</v>
      </c>
      <c r="BL139">
        <v>143</v>
      </c>
      <c r="BM139">
        <v>62</v>
      </c>
      <c r="BN139">
        <v>4.0743069059872798</v>
      </c>
      <c r="BO139">
        <v>32931.066411244603</v>
      </c>
      <c r="BP139" t="s">
        <v>779</v>
      </c>
      <c r="BQ139" t="s">
        <v>874</v>
      </c>
      <c r="BR139" cm="1">
        <f t="array" ref="BR139">IF($AP139="ארצי",SUMPRODUCT(($AP$2:$AP$143="ארצי")*($BK$2:$BK$143&gt;$BK139))+1,SUMPRODUCT(($AP$2:$AP$143=$AP139)*($L$2:$L$143=$L139)*($BK$2:$BK$143&gt;$BK139))+1)</f>
        <v>45</v>
      </c>
    </row>
    <row r="140" spans="1:70" x14ac:dyDescent="0.25">
      <c r="A140">
        <v>380</v>
      </c>
      <c r="B140">
        <v>34.814699912820601</v>
      </c>
      <c r="C140">
        <v>32.011824261578603</v>
      </c>
      <c r="D140" t="s">
        <v>780</v>
      </c>
      <c r="E140" t="s">
        <v>781</v>
      </c>
      <c r="F140" t="s">
        <v>138</v>
      </c>
      <c r="G140" t="s">
        <v>139</v>
      </c>
      <c r="H140" t="s">
        <v>782</v>
      </c>
      <c r="I140" t="s">
        <v>783</v>
      </c>
      <c r="J140" t="s">
        <v>74</v>
      </c>
      <c r="K140" t="s">
        <v>94</v>
      </c>
      <c r="L140" t="s">
        <v>94</v>
      </c>
      <c r="M140" t="s">
        <v>142</v>
      </c>
      <c r="N140" t="s">
        <v>133</v>
      </c>
      <c r="O140">
        <v>3246.98</v>
      </c>
      <c r="P140">
        <v>3246.98</v>
      </c>
      <c r="Q140">
        <v>1</v>
      </c>
      <c r="R140">
        <v>2</v>
      </c>
      <c r="S140">
        <v>0</v>
      </c>
      <c r="T140">
        <v>0</v>
      </c>
      <c r="U140">
        <v>0</v>
      </c>
      <c r="V140">
        <v>0</v>
      </c>
      <c r="W140">
        <v>2</v>
      </c>
      <c r="X140">
        <v>0</v>
      </c>
      <c r="Y140">
        <v>0</v>
      </c>
      <c r="Z140">
        <v>4615.6242487944701</v>
      </c>
      <c r="AA140">
        <v>4353.9112590325904</v>
      </c>
      <c r="AB140">
        <v>6466.2962561839104</v>
      </c>
      <c r="AC140">
        <v>8347.1038931746098</v>
      </c>
      <c r="AD140">
        <v>3567.3466723278798</v>
      </c>
      <c r="AE140">
        <v>5403.6472684196997</v>
      </c>
      <c r="AF140">
        <v>14649.267177306199</v>
      </c>
      <c r="AG140">
        <v>18104.662420626901</v>
      </c>
      <c r="AH140">
        <v>0</v>
      </c>
      <c r="AI140">
        <v>2</v>
      </c>
      <c r="AJ140">
        <v>0</v>
      </c>
      <c r="AK140">
        <v>2</v>
      </c>
      <c r="AL140">
        <v>19.8</v>
      </c>
      <c r="AM140">
        <v>0</v>
      </c>
      <c r="AN140" t="s">
        <v>143</v>
      </c>
      <c r="AO140" t="b">
        <v>0</v>
      </c>
      <c r="AP140" t="s">
        <v>143</v>
      </c>
      <c r="AQ140">
        <v>0</v>
      </c>
      <c r="AR140">
        <v>1</v>
      </c>
      <c r="AS140">
        <v>1.3054508056222101</v>
      </c>
      <c r="AT140">
        <v>1</v>
      </c>
      <c r="AU140">
        <v>3.0333565480528302</v>
      </c>
      <c r="AV140">
        <v>1.7050337419079999</v>
      </c>
      <c r="AW140">
        <v>1.6744931102856999</v>
      </c>
      <c r="AX140">
        <v>144</v>
      </c>
      <c r="AY140">
        <v>39</v>
      </c>
      <c r="AZ140">
        <v>4</v>
      </c>
      <c r="BA140">
        <v>0</v>
      </c>
      <c r="BB140">
        <v>2</v>
      </c>
      <c r="BC140">
        <v>0</v>
      </c>
      <c r="BD140">
        <v>0</v>
      </c>
      <c r="BE140">
        <v>0</v>
      </c>
      <c r="BF140">
        <v>2</v>
      </c>
      <c r="BG140">
        <v>0</v>
      </c>
      <c r="BH140">
        <v>0</v>
      </c>
      <c r="BI140">
        <v>4</v>
      </c>
      <c r="BJ140">
        <v>4</v>
      </c>
      <c r="BK140">
        <v>1.6744931102856999</v>
      </c>
      <c r="BL140">
        <v>144</v>
      </c>
      <c r="BM140">
        <v>39</v>
      </c>
      <c r="BN140">
        <v>3.5114796135670501</v>
      </c>
      <c r="BO140">
        <v>15340.346225970399</v>
      </c>
      <c r="BP140" t="s">
        <v>784</v>
      </c>
      <c r="BQ140" t="s">
        <v>896</v>
      </c>
      <c r="BR140" cm="1">
        <f t="array" ref="BR140">IF($AP140="ארצי",SUMPRODUCT(($AP$2:$AP$143="ארצי")*($BK$2:$BK$143&gt;$BK140))+1,SUMPRODUCT(($AP$2:$AP$143=$AP140)*($L$2:$L$143=$L140)*($BK$2:$BK$143&gt;$BK140))+1)</f>
        <v>23</v>
      </c>
    </row>
    <row r="141" spans="1:70" x14ac:dyDescent="0.25">
      <c r="A141">
        <v>379</v>
      </c>
      <c r="B141">
        <v>34.813932671270898</v>
      </c>
      <c r="C141">
        <v>31.993576421583899</v>
      </c>
      <c r="D141" t="s">
        <v>785</v>
      </c>
      <c r="E141" t="s">
        <v>786</v>
      </c>
      <c r="F141" t="s">
        <v>138</v>
      </c>
      <c r="G141" t="s">
        <v>139</v>
      </c>
      <c r="H141" t="s">
        <v>787</v>
      </c>
      <c r="I141" t="s">
        <v>788</v>
      </c>
      <c r="J141" t="s">
        <v>74</v>
      </c>
      <c r="K141" t="s">
        <v>94</v>
      </c>
      <c r="L141" t="s">
        <v>94</v>
      </c>
      <c r="M141" t="s">
        <v>219</v>
      </c>
      <c r="N141" t="s">
        <v>133</v>
      </c>
      <c r="O141">
        <v>2440.64</v>
      </c>
      <c r="P141">
        <v>1674.66</v>
      </c>
      <c r="Q141">
        <v>0.686156090205847</v>
      </c>
      <c r="R141">
        <v>2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6067.1545548575104</v>
      </c>
      <c r="AA141">
        <v>2120.2495187385498</v>
      </c>
      <c r="AB141">
        <v>9697.4303444575999</v>
      </c>
      <c r="AC141">
        <v>4087.33567840664</v>
      </c>
      <c r="AD141">
        <v>6192.73327303114</v>
      </c>
      <c r="AE141">
        <v>2995.2173222104698</v>
      </c>
      <c r="AF141">
        <v>21957.3181723462</v>
      </c>
      <c r="AG141">
        <v>9202.8025193556696</v>
      </c>
      <c r="AH141">
        <v>0</v>
      </c>
      <c r="AI141">
        <v>2</v>
      </c>
      <c r="AJ141">
        <v>0</v>
      </c>
      <c r="AK141">
        <v>2</v>
      </c>
      <c r="AL141">
        <v>14.3</v>
      </c>
      <c r="AM141">
        <v>0</v>
      </c>
      <c r="AN141" t="s">
        <v>143</v>
      </c>
      <c r="AO141" t="b">
        <v>0</v>
      </c>
      <c r="AP141" t="s">
        <v>143</v>
      </c>
      <c r="AQ141">
        <v>0</v>
      </c>
      <c r="AR141">
        <v>1</v>
      </c>
      <c r="AS141">
        <v>1.13575591360987</v>
      </c>
      <c r="AT141">
        <v>1</v>
      </c>
      <c r="AU141">
        <v>2.4256192873794098</v>
      </c>
      <c r="AV141">
        <v>1.90062909499419</v>
      </c>
      <c r="AW141">
        <v>1.5492964650957499</v>
      </c>
      <c r="AX141">
        <v>145</v>
      </c>
      <c r="AY141">
        <v>40</v>
      </c>
      <c r="AZ141">
        <v>3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2</v>
      </c>
      <c r="BG141">
        <v>1</v>
      </c>
      <c r="BH141">
        <v>0</v>
      </c>
      <c r="BI141">
        <v>3</v>
      </c>
      <c r="BJ141">
        <v>3</v>
      </c>
      <c r="BK141">
        <v>1.5492964650957499</v>
      </c>
      <c r="BL141">
        <v>145</v>
      </c>
      <c r="BM141">
        <v>40</v>
      </c>
      <c r="BN141">
        <v>3.3875037247086199</v>
      </c>
      <c r="BO141">
        <v>19406.4150417481</v>
      </c>
      <c r="BP141" t="s">
        <v>789</v>
      </c>
      <c r="BQ141" t="s">
        <v>897</v>
      </c>
      <c r="BR141" cm="1">
        <f t="array" ref="BR141">IF($AP141="ארצי",SUMPRODUCT(($AP$2:$AP$143="ארצי")*($BK$2:$BK$143&gt;$BK141))+1,SUMPRODUCT(($AP$2:$AP$143=$AP141)*($L$2:$L$143=$L141)*($BK$2:$BK$143&gt;$BK141))+1)</f>
        <v>24</v>
      </c>
    </row>
    <row r="142" spans="1:70" x14ac:dyDescent="0.25">
      <c r="A142">
        <v>115</v>
      </c>
      <c r="B142">
        <v>34.889961653933497</v>
      </c>
      <c r="C142">
        <v>32.143750918579798</v>
      </c>
      <c r="D142" t="s">
        <v>790</v>
      </c>
      <c r="E142" t="s">
        <v>791</v>
      </c>
      <c r="F142" t="s">
        <v>348</v>
      </c>
      <c r="G142" t="s">
        <v>349</v>
      </c>
      <c r="H142" t="s">
        <v>497</v>
      </c>
      <c r="I142" t="s">
        <v>498</v>
      </c>
      <c r="J142" t="s">
        <v>74</v>
      </c>
      <c r="K142" t="s">
        <v>94</v>
      </c>
      <c r="L142" t="s">
        <v>94</v>
      </c>
      <c r="M142" t="s">
        <v>219</v>
      </c>
      <c r="N142" t="s">
        <v>133</v>
      </c>
      <c r="O142">
        <v>8184.44</v>
      </c>
      <c r="P142">
        <v>3227.74</v>
      </c>
      <c r="Q142">
        <v>0.39437518022002699</v>
      </c>
      <c r="R142">
        <v>2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2</v>
      </c>
      <c r="Y142">
        <v>0</v>
      </c>
      <c r="Z142">
        <v>9545.8263686162209</v>
      </c>
      <c r="AA142">
        <v>3213.7520820210402</v>
      </c>
      <c r="AB142">
        <v>19853.866169077399</v>
      </c>
      <c r="AC142">
        <v>6701.7646868759603</v>
      </c>
      <c r="AD142">
        <v>13151.8128250384</v>
      </c>
      <c r="AE142">
        <v>5325.4049062389104</v>
      </c>
      <c r="AF142">
        <v>42551.505362732103</v>
      </c>
      <c r="AG142">
        <v>15240.9216751359</v>
      </c>
      <c r="AH142">
        <v>0</v>
      </c>
      <c r="AI142">
        <v>2</v>
      </c>
      <c r="AJ142">
        <v>0</v>
      </c>
      <c r="AK142">
        <v>2</v>
      </c>
      <c r="AL142">
        <v>22</v>
      </c>
      <c r="AM142">
        <v>0</v>
      </c>
      <c r="AN142" t="s">
        <v>103</v>
      </c>
      <c r="AO142" t="b">
        <v>0</v>
      </c>
      <c r="AP142" t="s">
        <v>103</v>
      </c>
      <c r="AQ142">
        <v>0</v>
      </c>
      <c r="AR142">
        <v>1</v>
      </c>
      <c r="AS142">
        <v>1.37332876242715</v>
      </c>
      <c r="AT142">
        <v>1</v>
      </c>
      <c r="AU142">
        <v>2.0290926985492899</v>
      </c>
      <c r="AV142">
        <v>1.9630022415253701</v>
      </c>
      <c r="AW142">
        <v>1.41352574916274</v>
      </c>
      <c r="AX142">
        <v>146</v>
      </c>
      <c r="AY142">
        <v>63</v>
      </c>
      <c r="AZ142">
        <v>4</v>
      </c>
      <c r="BA142">
        <v>0</v>
      </c>
      <c r="BB142">
        <v>0</v>
      </c>
      <c r="BC142">
        <v>2</v>
      </c>
      <c r="BD142">
        <v>0</v>
      </c>
      <c r="BE142">
        <v>0</v>
      </c>
      <c r="BF142">
        <v>2</v>
      </c>
      <c r="BG142">
        <v>0</v>
      </c>
      <c r="BH142">
        <v>0</v>
      </c>
      <c r="BI142">
        <v>4</v>
      </c>
      <c r="BJ142">
        <v>4</v>
      </c>
      <c r="BK142">
        <v>1.41352574916274</v>
      </c>
      <c r="BL142">
        <v>146</v>
      </c>
      <c r="BM142">
        <v>63</v>
      </c>
      <c r="BN142">
        <v>3.91298896924215</v>
      </c>
      <c r="BO142">
        <v>20703.0384126551</v>
      </c>
      <c r="BP142" t="s">
        <v>792</v>
      </c>
      <c r="BQ142" t="s">
        <v>857</v>
      </c>
      <c r="BR142" cm="1">
        <f t="array" ref="BR142">IF($AP142="ארצי",SUMPRODUCT(($AP$2:$AP$143="ארצי")*($BK$2:$BK$143&gt;$BK142))+1,SUMPRODUCT(($AP$2:$AP$143=$AP142)*($L$2:$L$143=$L142)*($BK$2:$BK$143&gt;$BK142))+1)</f>
        <v>46</v>
      </c>
    </row>
    <row r="143" spans="1:70" x14ac:dyDescent="0.25">
      <c r="A143">
        <v>127</v>
      </c>
      <c r="B143">
        <v>34.954146108779099</v>
      </c>
      <c r="C143">
        <v>32.177099093595501</v>
      </c>
      <c r="D143" t="s">
        <v>793</v>
      </c>
      <c r="E143" t="s">
        <v>794</v>
      </c>
      <c r="F143" t="s">
        <v>362</v>
      </c>
      <c r="G143" t="s">
        <v>363</v>
      </c>
      <c r="H143" t="s">
        <v>795</v>
      </c>
      <c r="I143" t="s">
        <v>796</v>
      </c>
      <c r="J143" t="s">
        <v>74</v>
      </c>
      <c r="K143" t="s">
        <v>94</v>
      </c>
      <c r="L143" t="s">
        <v>94</v>
      </c>
      <c r="M143" t="s">
        <v>132</v>
      </c>
      <c r="N143" t="s">
        <v>133</v>
      </c>
      <c r="O143">
        <v>5167.2</v>
      </c>
      <c r="P143">
        <v>2287.4899999999998</v>
      </c>
      <c r="Q143">
        <v>0.44269430252360997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2</v>
      </c>
      <c r="Y143">
        <v>6</v>
      </c>
      <c r="Z143">
        <v>572.01248206178195</v>
      </c>
      <c r="AA143">
        <v>608.82591548284597</v>
      </c>
      <c r="AB143">
        <v>1732.07564809781</v>
      </c>
      <c r="AC143">
        <v>2514.2722065927301</v>
      </c>
      <c r="AD143">
        <v>2641.47570924713</v>
      </c>
      <c r="AE143">
        <v>1514.33131492488</v>
      </c>
      <c r="AF143">
        <v>4945.56383940673</v>
      </c>
      <c r="AG143">
        <v>4637.42943700046</v>
      </c>
      <c r="AH143">
        <v>0</v>
      </c>
      <c r="AI143">
        <v>2</v>
      </c>
      <c r="AJ143">
        <v>0</v>
      </c>
      <c r="AK143">
        <v>2</v>
      </c>
      <c r="AL143">
        <v>52.8</v>
      </c>
      <c r="AM143">
        <v>0</v>
      </c>
      <c r="AN143" t="s">
        <v>103</v>
      </c>
      <c r="AO143" t="b">
        <v>0</v>
      </c>
      <c r="AP143" t="s">
        <v>103</v>
      </c>
      <c r="AQ143">
        <v>0</v>
      </c>
      <c r="AR143">
        <v>1</v>
      </c>
      <c r="AS143">
        <v>2.3236201576962601</v>
      </c>
      <c r="AT143">
        <v>1</v>
      </c>
      <c r="AU143">
        <v>1.0151855990204901</v>
      </c>
      <c r="AV143">
        <v>1.1931420471912599</v>
      </c>
      <c r="AW143">
        <v>1.38520949780675</v>
      </c>
      <c r="AX143">
        <v>147</v>
      </c>
      <c r="AY143">
        <v>64</v>
      </c>
      <c r="AZ143">
        <v>8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2</v>
      </c>
      <c r="BG143">
        <v>0</v>
      </c>
      <c r="BH143">
        <v>0</v>
      </c>
      <c r="BI143">
        <v>2</v>
      </c>
      <c r="BJ143">
        <v>8</v>
      </c>
      <c r="BK143">
        <v>1.38520949780675</v>
      </c>
      <c r="BL143">
        <v>147</v>
      </c>
      <c r="BM143">
        <v>64</v>
      </c>
      <c r="BN143">
        <v>3.7132552715350902</v>
      </c>
      <c r="BO143">
        <v>4699.0563174817198</v>
      </c>
      <c r="BP143" t="s">
        <v>797</v>
      </c>
      <c r="BQ143" t="s">
        <v>898</v>
      </c>
      <c r="BR143" cm="1">
        <f t="array" ref="BR143">IF($AP143="ארצי",SUMPRODUCT(($AP$2:$AP$143="ארצי")*($BK$2:$BK$143&gt;$BK143))+1,SUMPRODUCT(($AP$2:$AP$143=$AP143)*($L$2:$L$143=$L143)*($BK$2:$BK$143&gt;$BK143))+1)</f>
        <v>47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hubs_final_results_20260617_103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Ohad Dahan</cp:lastModifiedBy>
  <dcterms:created xsi:type="dcterms:W3CDTF">2026-06-17T10:50:39Z</dcterms:created>
  <dcterms:modified xsi:type="dcterms:W3CDTF">2026-06-17T10:50:39Z</dcterms:modified>
</cp:coreProperties>
</file>